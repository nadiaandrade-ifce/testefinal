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4896d2c7b819de2/IFCE/Canindé/PIT e RIT/"/>
    </mc:Choice>
  </mc:AlternateContent>
  <xr:revisionPtr revIDLastSave="176" documentId="11_0344567A9790DCA7E51B549579FC0A1CE61EA2DB" xr6:coauthVersionLast="47" xr6:coauthVersionMax="47" xr10:uidLastSave="{9207BBA0-7574-48D4-BF0D-8E6A850EBAA8}"/>
  <bookViews>
    <workbookView xWindow="-108" yWindow="-108" windowWidth="23256" windowHeight="12456" tabRatio="500" xr2:uid="{00000000-000D-0000-FFFF-FFFF00000000}"/>
  </bookViews>
  <sheets>
    <sheet name="Anexo I - 40h e 40h DE" sheetId="1" r:id="rId1"/>
    <sheet name="Anexo II - 20h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3" i="1" l="1"/>
  <c r="G97" i="1"/>
  <c r="G92" i="1"/>
  <c r="G84" i="1"/>
  <c r="G85" i="1"/>
  <c r="G86" i="1"/>
  <c r="G87" i="1"/>
  <c r="G88" i="1"/>
  <c r="G89" i="1"/>
  <c r="G90" i="1"/>
  <c r="G91" i="1"/>
  <c r="G83" i="1"/>
  <c r="G80" i="1"/>
  <c r="G70" i="1"/>
  <c r="G71" i="1"/>
  <c r="G72" i="1"/>
  <c r="G73" i="1"/>
  <c r="G74" i="1"/>
  <c r="G75" i="1"/>
  <c r="G76" i="1"/>
  <c r="G77" i="1"/>
  <c r="G78" i="1"/>
  <c r="G79" i="1"/>
  <c r="G69" i="1"/>
  <c r="G66" i="1"/>
  <c r="G65" i="1"/>
  <c r="G64" i="1"/>
  <c r="G61" i="1"/>
  <c r="G53" i="1"/>
  <c r="G54" i="1"/>
  <c r="G55" i="1"/>
  <c r="G56" i="1"/>
  <c r="G57" i="1"/>
  <c r="G58" i="1"/>
  <c r="G59" i="1"/>
  <c r="G60" i="1"/>
  <c r="G52" i="1"/>
  <c r="G49" i="1"/>
  <c r="G37" i="1"/>
  <c r="G38" i="1"/>
  <c r="G39" i="1"/>
  <c r="G40" i="1"/>
  <c r="G41" i="1"/>
  <c r="G42" i="1"/>
  <c r="G43" i="1"/>
  <c r="G44" i="1"/>
  <c r="G45" i="1"/>
  <c r="G46" i="1"/>
  <c r="G47" i="1"/>
  <c r="G48" i="1"/>
  <c r="G36" i="1"/>
  <c r="G33" i="1"/>
  <c r="G32" i="1"/>
  <c r="G31" i="1"/>
  <c r="G29" i="1"/>
  <c r="G28" i="1"/>
  <c r="G27" i="1"/>
  <c r="G25" i="1"/>
  <c r="G24" i="1"/>
  <c r="G23" i="1"/>
  <c r="G22" i="1"/>
  <c r="G21" i="1"/>
  <c r="G20" i="1"/>
  <c r="G15" i="1"/>
  <c r="G14" i="1"/>
  <c r="G13" i="1"/>
  <c r="G12" i="1"/>
  <c r="F12" i="1"/>
  <c r="G17" i="1"/>
  <c r="G9" i="1"/>
  <c r="G8" i="1"/>
  <c r="G7" i="1"/>
  <c r="G6" i="1"/>
  <c r="G71" i="2"/>
  <c r="G70" i="2"/>
  <c r="G69" i="2"/>
  <c r="G68" i="2"/>
  <c r="G67" i="2"/>
  <c r="G66" i="2"/>
  <c r="G65" i="2"/>
  <c r="G64" i="2"/>
  <c r="G63" i="2"/>
  <c r="G72" i="2" s="1"/>
  <c r="G60" i="2"/>
  <c r="G59" i="2"/>
  <c r="G61" i="2" s="1"/>
  <c r="G57" i="2"/>
  <c r="G56" i="2"/>
  <c r="G55" i="2"/>
  <c r="G54" i="2"/>
  <c r="G53" i="2"/>
  <c r="G52" i="2"/>
  <c r="G51" i="2"/>
  <c r="G50" i="2"/>
  <c r="G49" i="2"/>
  <c r="G48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0" i="2"/>
  <c r="G29" i="2"/>
  <c r="G31" i="2" s="1"/>
  <c r="G26" i="2"/>
  <c r="G25" i="2"/>
  <c r="G27" i="2" s="1"/>
  <c r="G22" i="2"/>
  <c r="G21" i="2"/>
  <c r="G20" i="2"/>
  <c r="G19" i="2"/>
  <c r="G18" i="2"/>
  <c r="G23" i="2" s="1"/>
  <c r="G16" i="2"/>
  <c r="G15" i="2"/>
  <c r="G13" i="2"/>
  <c r="G12" i="2"/>
  <c r="G11" i="2"/>
  <c r="G10" i="2"/>
  <c r="G9" i="2"/>
  <c r="G6" i="2"/>
  <c r="G7" i="2" s="1"/>
  <c r="G5" i="2"/>
  <c r="G4" i="2"/>
  <c r="G18" i="1"/>
  <c r="F11" i="1" l="1"/>
  <c r="G11" i="1" s="1"/>
  <c r="G73" i="2"/>
  <c r="G2" i="2"/>
  <c r="G2" i="1" l="1"/>
</calcChain>
</file>

<file path=xl/sharedStrings.xml><?xml version="1.0" encoding="utf-8"?>
<sst xmlns="http://schemas.openxmlformats.org/spreadsheetml/2006/main" count="495" uniqueCount="191">
  <si>
    <t>CARGA HORÁRIA SEMANAL DOS PROFESSORES  40h ou 40h D.E. DO IFCE</t>
  </si>
  <si>
    <t>Total:</t>
  </si>
  <si>
    <t>1  AULAS EM FIC, TÉCNICO, ESPECIALIZAÇÃO TÉCNICA, GRADUAÇÃO E PÓS-GRADUAÇÃO  (mínimo de 10 horas até 20 horas)</t>
  </si>
  <si>
    <t>Peso</t>
  </si>
  <si>
    <t>Máx.</t>
  </si>
  <si>
    <t>Unidade</t>
  </si>
  <si>
    <t>Quantidade</t>
  </si>
  <si>
    <t>CH Obtida</t>
  </si>
  <si>
    <t>1.1</t>
  </si>
  <si>
    <t>Cursos Técnicos e/ou de Licenciaturas, com base na Lei 11.892, de 29 de dezembro de 2008 (mínimo de 6 horas)</t>
  </si>
  <si>
    <t>Aula</t>
  </si>
  <si>
    <t>1.2</t>
  </si>
  <si>
    <t>Cursos de tecnologia, bacharelados, pós-graduação lato sensu e pós-graduação stricto sensu.</t>
  </si>
  <si>
    <t>1.3</t>
  </si>
  <si>
    <t>FIC (observar o Art. 7, §4º regulamentação da carga horária)</t>
  </si>
  <si>
    <t>Duração do curso em horas</t>
  </si>
  <si>
    <t>Subtotal</t>
  </si>
  <si>
    <t>2  ATIVIDADES DE MANUTENÇÃO DO ENSINO  (até 18 horas)</t>
  </si>
  <si>
    <t>2.1</t>
  </si>
  <si>
    <t>Preparação + Planejamento</t>
  </si>
  <si>
    <t>Horas</t>
  </si>
  <si>
    <t>2.2</t>
  </si>
  <si>
    <t>Atendimento a estudantes</t>
  </si>
  <si>
    <t>2.3</t>
  </si>
  <si>
    <t>Elaboração de matriz de design educacional para primeira oferta de componentes curriculares a distância em cursos regulares ou de pós-graduação (considerando que tal matriz será elaborada em semestre anterior ao da aplicação do componente curricular).</t>
  </si>
  <si>
    <t>2.4</t>
  </si>
  <si>
    <t>Revisão de matriz de design educacional para oferta de componentes curriculares a distância em cursos regulares ou de pós-graduação que estejam em execução e/ou que já tenham sido realizados há pelo menos 1 ano (considerando que tal matriz será elaborada em semestre anterior ao da aplicação do componente curricular).</t>
  </si>
  <si>
    <t>3  ATIVIDADES DE APOIO AO ENSINO  (2 horas)</t>
  </si>
  <si>
    <t>3.1</t>
  </si>
  <si>
    <t>Participação nos encontros técnico-pedagógicos, reuniões com os diversos setores da gestão</t>
  </si>
  <si>
    <t>-</t>
  </si>
  <si>
    <t>4  ATIVIDADES DE ORIENTAÇÃO AO DISCENTE  (até 10 horas)</t>
  </si>
  <si>
    <t>4.1</t>
  </si>
  <si>
    <t>Orientação de TCC graduação</t>
  </si>
  <si>
    <t>Nº de estudantes</t>
  </si>
  <si>
    <t>4.2</t>
  </si>
  <si>
    <t>Orientação de Estágio Supervisionado (Supervisor/Orientador)</t>
  </si>
  <si>
    <t>4.3</t>
  </si>
  <si>
    <t>Orientação de Estágio Supervisionado (curso com regulamentação diferenciada em Conselho de Classe Profissional)</t>
  </si>
  <si>
    <t>Nº de campo de estágio</t>
  </si>
  <si>
    <t>4.4</t>
  </si>
  <si>
    <t>Monitoria</t>
  </si>
  <si>
    <t>4.5</t>
  </si>
  <si>
    <t>Programa Institucional de Bolsas de Iniciação à Docência (PIBID) ou outro programa voltado à permanência e ao êxito estudantis</t>
  </si>
  <si>
    <t>Coordenação de programa</t>
  </si>
  <si>
    <t>5  ATIVIDADES DE ENSINO EXTRACURRICULAR  (até 10 horas)</t>
  </si>
  <si>
    <t>5.1</t>
  </si>
  <si>
    <t>Responsável por laboratório</t>
  </si>
  <si>
    <t>Nº de laboratórios</t>
  </si>
  <si>
    <t>5.2</t>
  </si>
  <si>
    <t>Projetos ou atividades complementares de ensino extracurriculares</t>
  </si>
  <si>
    <t>Nº de projetos</t>
  </si>
  <si>
    <t>6.1</t>
  </si>
  <si>
    <t>Produção de videoaulas assíncronas para composição de videoteca para os cursos regulares</t>
  </si>
  <si>
    <t>Videoaulas</t>
  </si>
  <si>
    <t>6.2</t>
  </si>
  <si>
    <t>Elaboração de livros</t>
  </si>
  <si>
    <t>Livros</t>
  </si>
  <si>
    <t>7  ATIVIDADES DE PESQUISA APLICADA  (até 18 horas)</t>
  </si>
  <si>
    <t>7.1</t>
  </si>
  <si>
    <t>Coordenação de projeto de pesquisa aplicada, desenvolvimento ou inovação cadastrado na PRPI, com fomento IFCE ou sem recursos</t>
  </si>
  <si>
    <t>7.2</t>
  </si>
  <si>
    <t>Coordenação de projeto de pesquisa aplicada, desenvolvimento ou inovação cadastrado na PRPI com captação de recursos externos ao IFCE de agências oficiais de fomento e fundações de apoio à pesquisa.</t>
  </si>
  <si>
    <t>7.3</t>
  </si>
  <si>
    <t>Participação na equipe de projeto de pesquisa aplicada, desenvolvimento ou inovação, cadastrado na PRPI</t>
  </si>
  <si>
    <t>7.4</t>
  </si>
  <si>
    <t>Orientação ou coorientação em cursos de especialização, mestrado ou doutorado, no IFCE ou em outra instituição de ensino superior com anuência do IFCE.</t>
  </si>
  <si>
    <t>7.5</t>
  </si>
  <si>
    <t>Bolsista produtividade do IFCE ou agências oficiais de fomento</t>
  </si>
  <si>
    <t>Nº de bolsas</t>
  </si>
  <si>
    <t>7.6</t>
  </si>
  <si>
    <t>Participação em programa de pós-graduação, em nível de mestrado ou doutorado, como docente COLABORADOR (do IFCE ou de outra IES com anuência do IFCE)</t>
  </si>
  <si>
    <t>Nº de programas</t>
  </si>
  <si>
    <t>7.7</t>
  </si>
  <si>
    <t>Participação em programa de pós-graduação, em nível de mestrado ou doutorado, como docente PERMANENTE (do IFCE ou de outra IES com anuência do IFCE)</t>
  </si>
  <si>
    <t>7.8</t>
  </si>
  <si>
    <t>Coordenação ou participação em equipe de projeto de pesquisa aplicada, desenvolvimento ou inovação cadastrado na PRPI com fomento externo proveniente de parcerias ou convênios com empresas privadas.</t>
  </si>
  <si>
    <t>7.9</t>
  </si>
  <si>
    <t>Líder de Grupo de Pesquisa devidamente homologado pela PRPI.</t>
  </si>
  <si>
    <t>Nº de grupos</t>
  </si>
  <si>
    <t>7.10</t>
  </si>
  <si>
    <t>Exercício da função de Editor(a)-chefe em periódico científico do IFCE.</t>
  </si>
  <si>
    <t>Nº de periódicos</t>
  </si>
  <si>
    <t>7.11</t>
  </si>
  <si>
    <t>Revisor de Periódicos ou Eventos Científicos reconhecidos pela PRPI.</t>
  </si>
  <si>
    <t>Nº de eventos/revistas</t>
  </si>
  <si>
    <t>7.12</t>
  </si>
  <si>
    <t>Coordenação de comitê de ética em pesquisa do IFCE.</t>
  </si>
  <si>
    <t>Nº de comitês</t>
  </si>
  <si>
    <t>7.13</t>
  </si>
  <si>
    <t>Participação como membro relator de comitê de ética em pesquisa do IFCE.</t>
  </si>
  <si>
    <t>8  ATIVIDADES DE EXTENSÃO  (até 18 horas)</t>
  </si>
  <si>
    <t>8.1</t>
  </si>
  <si>
    <t>Coordenação de projeto/programa de extensão cadastrado na PROEXT, com fomento IFCE ou sem recursos</t>
  </si>
  <si>
    <t>8.2</t>
  </si>
  <si>
    <t>Coordenação de projeto/programa de extensão cadastrado na PROEXT, com captação de recursos externos ao IFCE</t>
  </si>
  <si>
    <t>8.3</t>
  </si>
  <si>
    <t>Participação na equipe de projeto ou programa de extensão, cadastrado na PROEXT, exceto aula FIC</t>
  </si>
  <si>
    <t>8.4</t>
  </si>
  <si>
    <t>Coordenação de incubadoras de empresas</t>
  </si>
  <si>
    <t>Nº de coordenações</t>
  </si>
  <si>
    <t>8.5</t>
  </si>
  <si>
    <t>Coordenação dos NAPNES ou NEABI</t>
  </si>
  <si>
    <t>8.6</t>
  </si>
  <si>
    <t>Participação em NAPNES ou NEABI</t>
  </si>
  <si>
    <t>Nº de participações</t>
  </si>
  <si>
    <t>8.7</t>
  </si>
  <si>
    <t>Cursos de FIC (quantidade de horas por curso)</t>
  </si>
  <si>
    <t>Duração do curso, em horas</t>
  </si>
  <si>
    <t>8.8</t>
  </si>
  <si>
    <t>Preparação + Planejamento dos cursos de FIC</t>
  </si>
  <si>
    <t>8.9</t>
  </si>
  <si>
    <t>Planejamento e organização de eventos de extensão</t>
  </si>
  <si>
    <t>Nº de eventos</t>
  </si>
  <si>
    <t>9  ATIVIDADES DE PRODUÇÃO DE MATERIAIS DIDÁTICOS PARA CURSOS FIC NA MODALIDADE A DISTÂNCIA (EaD)  (até 8 horas)</t>
  </si>
  <si>
    <t>9.1</t>
  </si>
  <si>
    <t>Produção de videoaulas assíncronas para composição de videoteca para os cursos FIC</t>
  </si>
  <si>
    <t>9.2</t>
  </si>
  <si>
    <t>Elaboração de livros para cursos FIC</t>
  </si>
  <si>
    <t>10  ATIVIDADES DE GESTÃO INSTITUCIONAL E ACADÊMICA  (até 18 horas)</t>
  </si>
  <si>
    <t>10.1</t>
  </si>
  <si>
    <t>Coordenador de curso</t>
  </si>
  <si>
    <t>Curso</t>
  </si>
  <si>
    <t>10.2</t>
  </si>
  <si>
    <t>Coordenador de setor</t>
  </si>
  <si>
    <t>Setor</t>
  </si>
  <si>
    <t>10.3</t>
  </si>
  <si>
    <t>Chefe de departamento</t>
  </si>
  <si>
    <t>Departamento</t>
  </si>
  <si>
    <t>10.4</t>
  </si>
  <si>
    <t>Diretores de Área/Setor</t>
  </si>
  <si>
    <t>Área/Setor</t>
  </si>
  <si>
    <t>10.5</t>
  </si>
  <si>
    <t>Assessor da Reitoria</t>
  </si>
  <si>
    <t>Assessoria</t>
  </si>
  <si>
    <t>10.6</t>
  </si>
  <si>
    <t>Coordenador de Implantação de Campus</t>
  </si>
  <si>
    <t>Coordenação</t>
  </si>
  <si>
    <t>10.7</t>
  </si>
  <si>
    <t>Assistente de pró-reitoria ou Chefe de Gabinete de Campus</t>
  </si>
  <si>
    <t>Assistência</t>
  </si>
  <si>
    <t>10.8</t>
  </si>
  <si>
    <t>Coordenador de programa institucional: ensino, pesquisa aplicada ou extensão</t>
  </si>
  <si>
    <t>Programa</t>
  </si>
  <si>
    <t>10.9</t>
  </si>
  <si>
    <t>Coordenador do NTEAD</t>
  </si>
  <si>
    <t>NTEaD</t>
  </si>
  <si>
    <t>10.10</t>
  </si>
  <si>
    <t>Responsável pelo Desenho Pedagógico do NTEAD</t>
  </si>
  <si>
    <t>10.11</t>
  </si>
  <si>
    <t>Administrador do Ambiente Virtual de Aprendizagem</t>
  </si>
  <si>
    <t>11  ATIVIDADES EM COMISSÕES OU DE FISCALIZAÇÃO  (até 18 horas)</t>
  </si>
  <si>
    <t>11.1</t>
  </si>
  <si>
    <t>Conselhos, comissões ou comitês permanentes institucionais</t>
  </si>
  <si>
    <t>11.2</t>
  </si>
  <si>
    <t>Comissão Própria de Avaliação e Comissão Permanente de Pessoal Docente (Central)</t>
  </si>
  <si>
    <t>11.3</t>
  </si>
  <si>
    <t>Comissão Própria de Avaliação e Comissão Permanente de Pessoal Docente (Local)</t>
  </si>
  <si>
    <t>11.4</t>
  </si>
  <si>
    <t>Conselhos ou comitês permanentes externos</t>
  </si>
  <si>
    <t>11.5</t>
  </si>
  <si>
    <t>Colegiado de cursos</t>
  </si>
  <si>
    <t>11.6</t>
  </si>
  <si>
    <t>Núcleo Docente Estruturante (NDE)</t>
  </si>
  <si>
    <t>11.7</t>
  </si>
  <si>
    <t>Comissão de Processo Administrativo Disciplinar</t>
  </si>
  <si>
    <t>Processo</t>
  </si>
  <si>
    <t>11.8</t>
  </si>
  <si>
    <t>Participação em Direção Sindical como titular</t>
  </si>
  <si>
    <t>11.9</t>
  </si>
  <si>
    <t>Fiscalização de contrato</t>
  </si>
  <si>
    <t>Contrato</t>
  </si>
  <si>
    <t>TOTAL GERAL</t>
  </si>
  <si>
    <t>⬛ Campos em AMARELO = células a preencher com a quantidade de atividades</t>
  </si>
  <si>
    <t>CARGA HORÁRIA SEMANAL DOS PROFESSORES  20h DO IFCE</t>
  </si>
  <si>
    <t>2  ATIVIDADES DE MANUTENÇÃO DO ENSINO  (até 6 horas)</t>
  </si>
  <si>
    <t>4  ATIVIDADES DE ORIENTAÇÃO AO DISCENTE  (até 4 horas)</t>
  </si>
  <si>
    <t>5  ATIVIDADES DE ENSINO EXTRACURRICULAR  (até 4 horas)</t>
  </si>
  <si>
    <t>6  ATIVIDADES DE PRODUÇÃO DE MATERIAIS DIDÁTICOS PARA CURSOS REGULARES NA MODALIDADE A DISTÂNCIA (EaD)  (até 4 horas)</t>
  </si>
  <si>
    <t>7  ATIVIDADES DE PESQUISA APLICADA  (até 4 horas)</t>
  </si>
  <si>
    <t>8  ATIVIDADES DE EXTENSÃO  (até 4 horas)</t>
  </si>
  <si>
    <t>9  ATIVIDADES DE PRODUÇÃO DE MATERIAIS DIDÁTICOS PARA CURSOS FIC NA MODALIDADE A DISTÂNCIA (EaD)  (até 4 horas)</t>
  </si>
  <si>
    <t>10  ATIVIDADES EM COMISSÕES OU DE FISCALIZAÇÃO  (até 4 horas)</t>
  </si>
  <si>
    <t>Atividade de Ensino (até 40 horas)</t>
  </si>
  <si>
    <t>Atividade de Pesquisa Aplicada (até 18 horas)</t>
  </si>
  <si>
    <t>Atividades de Extensão (até 18 horas)</t>
  </si>
  <si>
    <t>Atividades de Produção de Materiais Didáticos para Cursos FIC na Modalidade à Distância (EaD) (até 8 horas)</t>
  </si>
  <si>
    <t>Atividades de Gestão (até 18 horas)</t>
  </si>
  <si>
    <t>Atividades em Comissões ou de Fiscalização (até 18 horas)</t>
  </si>
  <si>
    <t xml:space="preserve">6  ATIVIDADES DE PRODUÇÃO DE MATERIAIS DIDÁTICOS PARA CURSOS REGULARES NA MODALIDADE A DISTÂNCIA (EaD)  (até 10 horas) </t>
  </si>
  <si>
    <t>CH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</si>
</sst>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1F5C2E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55555"/>
      <name val="Arial"/>
      <charset val="1"/>
    </font>
    <font>
      <b/>
      <sz val="14"/>
      <color theme="0"/>
      <name val="Arial"/>
      <family val="2"/>
    </font>
    <font>
      <b/>
      <sz val="14"/>
      <color rgb="FFFFFFFF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5C2E"/>
        <bgColor rgb="FF444444"/>
      </patternFill>
    </fill>
    <fill>
      <patternFill patternType="solid">
        <fgColor rgb="FF2E8B3A"/>
        <bgColor rgb="FF00808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6EDD9"/>
      </patternFill>
    </fill>
    <fill>
      <patternFill patternType="solid">
        <fgColor rgb="FFD6EDD9"/>
        <bgColor rgb="FFDCE6F1"/>
      </patternFill>
    </fill>
    <fill>
      <patternFill patternType="solid">
        <fgColor theme="5" tint="-0.249977111117893"/>
        <bgColor rgb="FF444444"/>
      </patternFill>
    </fill>
    <fill>
      <patternFill patternType="solid">
        <fgColor theme="5" tint="-0.249977111117893"/>
        <bgColor rgb="FFDCE6F1"/>
      </patternFill>
    </fill>
    <fill>
      <patternFill patternType="solid">
        <fgColor theme="0"/>
        <bgColor rgb="FF444444"/>
      </patternFill>
    </fill>
  </fills>
  <borders count="7">
    <border>
      <left/>
      <right/>
      <top/>
      <bottom/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444444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0" fillId="6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8" fillId="8" borderId="2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164" fontId="8" fillId="7" borderId="4" xfId="0" applyNumberFormat="1" applyFont="1" applyFill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2" fillId="11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left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C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D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2E8B3A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topLeftCell="A72" zoomScaleNormal="100" workbookViewId="0">
      <selection activeCell="J90" sqref="J90"/>
    </sheetView>
  </sheetViews>
  <sheetFormatPr defaultColWidth="8.6640625" defaultRowHeight="14.4" x14ac:dyDescent="0.3"/>
  <cols>
    <col min="1" max="1" width="7" customWidth="1"/>
    <col min="2" max="2" width="68" customWidth="1"/>
    <col min="3" max="4" width="8" customWidth="1"/>
    <col min="5" max="5" width="22" customWidth="1"/>
    <col min="6" max="6" width="14" customWidth="1"/>
    <col min="7" max="7" width="12" customWidth="1"/>
  </cols>
  <sheetData>
    <row r="1" spans="1:7" ht="30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21.75" customHeight="1" x14ac:dyDescent="0.3">
      <c r="A2" s="5" t="s">
        <v>1</v>
      </c>
      <c r="B2" s="5"/>
      <c r="C2" s="5"/>
      <c r="D2" s="5"/>
      <c r="E2" s="5"/>
      <c r="F2" s="5"/>
      <c r="G2" s="7">
        <f>G93</f>
        <v>2</v>
      </c>
    </row>
    <row r="3" spans="1:7" ht="21.75" customHeight="1" x14ac:dyDescent="0.3">
      <c r="A3" s="20" t="s">
        <v>183</v>
      </c>
      <c r="B3" s="20"/>
      <c r="C3" s="20"/>
      <c r="D3" s="20"/>
      <c r="E3" s="20"/>
      <c r="F3" s="20"/>
      <c r="G3" s="20"/>
    </row>
    <row r="4" spans="1:7" ht="21.75" customHeight="1" x14ac:dyDescent="0.3">
      <c r="A4" s="23"/>
      <c r="B4" s="23"/>
      <c r="C4" s="23"/>
      <c r="D4" s="23"/>
      <c r="E4" s="23"/>
      <c r="F4" s="23"/>
      <c r="G4" s="23"/>
    </row>
    <row r="5" spans="1:7" ht="36" customHeight="1" x14ac:dyDescent="0.3">
      <c r="A5" s="4" t="s">
        <v>2</v>
      </c>
      <c r="B5" s="4"/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</row>
    <row r="6" spans="1:7" ht="22.8" x14ac:dyDescent="0.3">
      <c r="A6" s="9" t="s">
        <v>8</v>
      </c>
      <c r="B6" s="10" t="s">
        <v>9</v>
      </c>
      <c r="C6" s="9">
        <v>1</v>
      </c>
      <c r="D6" s="9">
        <v>20</v>
      </c>
      <c r="E6" s="9" t="s">
        <v>10</v>
      </c>
      <c r="F6" s="11">
        <v>0</v>
      </c>
      <c r="G6" s="12">
        <f>IF(F6&gt;D6,D6,F6*D6)</f>
        <v>0</v>
      </c>
    </row>
    <row r="7" spans="1:7" ht="22.8" x14ac:dyDescent="0.3">
      <c r="A7" s="13" t="s">
        <v>11</v>
      </c>
      <c r="B7" s="14" t="s">
        <v>12</v>
      </c>
      <c r="C7" s="13">
        <v>1</v>
      </c>
      <c r="D7" s="13">
        <v>20</v>
      </c>
      <c r="E7" s="13" t="s">
        <v>10</v>
      </c>
      <c r="F7" s="11">
        <v>0</v>
      </c>
      <c r="G7" s="15">
        <f>IF(AND(G6&gt;16,F7&lt;&gt;0),"DIMINUA AS AULAS ACIMA",IF(F7&gt;D7,D7,F7*C7))</f>
        <v>0</v>
      </c>
    </row>
    <row r="8" spans="1:7" x14ac:dyDescent="0.3">
      <c r="A8" s="9" t="s">
        <v>13</v>
      </c>
      <c r="B8" s="10" t="s">
        <v>14</v>
      </c>
      <c r="C8" s="9">
        <v>0.05</v>
      </c>
      <c r="D8" s="9">
        <v>400</v>
      </c>
      <c r="E8" s="9" t="s">
        <v>15</v>
      </c>
      <c r="F8" s="11">
        <v>0</v>
      </c>
      <c r="G8" s="12">
        <f>IF(AND(G6&gt;16,F8&lt;&gt;0),"DIMINUA AS AULAS ACIMA",IF(F8&gt;D8,D8,F8*C8))</f>
        <v>0</v>
      </c>
    </row>
    <row r="9" spans="1:7" ht="15" customHeight="1" x14ac:dyDescent="0.3">
      <c r="A9" s="3" t="s">
        <v>16</v>
      </c>
      <c r="B9" s="3"/>
      <c r="C9" s="3"/>
      <c r="D9" s="3"/>
      <c r="E9" s="3"/>
      <c r="F9" s="3"/>
      <c r="G9" s="16">
        <f>IF(SUM(G6:G8)&gt;20,20,SUM(G6:G8))</f>
        <v>0</v>
      </c>
    </row>
    <row r="10" spans="1:7" ht="21.75" customHeight="1" x14ac:dyDescent="0.3">
      <c r="A10" s="4" t="s">
        <v>17</v>
      </c>
      <c r="B10" s="4"/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</row>
    <row r="11" spans="1:7" x14ac:dyDescent="0.3">
      <c r="A11" s="9" t="s">
        <v>18</v>
      </c>
      <c r="B11" s="10" t="s">
        <v>19</v>
      </c>
      <c r="C11" s="9">
        <v>0.8</v>
      </c>
      <c r="D11" s="9">
        <v>14</v>
      </c>
      <c r="E11" s="9" t="s">
        <v>20</v>
      </c>
      <c r="F11" s="11">
        <f>IF((G9-G12)&gt;D11,D11,G9-G12)</f>
        <v>0</v>
      </c>
      <c r="G11" s="12">
        <f>IF(F11&gt;D11,D11,F11)</f>
        <v>0</v>
      </c>
    </row>
    <row r="12" spans="1:7" x14ac:dyDescent="0.3">
      <c r="A12" s="13" t="s">
        <v>21</v>
      </c>
      <c r="B12" s="14" t="s">
        <v>22</v>
      </c>
      <c r="C12" s="13">
        <v>0.2</v>
      </c>
      <c r="D12" s="13">
        <v>4</v>
      </c>
      <c r="E12" s="13" t="s">
        <v>20</v>
      </c>
      <c r="F12" s="11">
        <f>ROUNDUP(G9*C12,0)</f>
        <v>0</v>
      </c>
      <c r="G12" s="15">
        <f>F12</f>
        <v>0</v>
      </c>
    </row>
    <row r="13" spans="1:7" ht="34.200000000000003" x14ac:dyDescent="0.3">
      <c r="A13" s="9" t="s">
        <v>23</v>
      </c>
      <c r="B13" s="10" t="s">
        <v>24</v>
      </c>
      <c r="C13" s="9">
        <v>0.05</v>
      </c>
      <c r="D13" s="9">
        <v>400</v>
      </c>
      <c r="E13" s="9" t="s">
        <v>20</v>
      </c>
      <c r="F13" s="11">
        <v>0</v>
      </c>
      <c r="G13" s="12">
        <f>IF(F13&gt;0,F13*C13,0)</f>
        <v>0</v>
      </c>
    </row>
    <row r="14" spans="1:7" ht="45.6" x14ac:dyDescent="0.3">
      <c r="A14" s="13" t="s">
        <v>25</v>
      </c>
      <c r="B14" s="14" t="s">
        <v>26</v>
      </c>
      <c r="C14" s="13">
        <v>2.5000000000000001E-2</v>
      </c>
      <c r="D14" s="13">
        <v>400</v>
      </c>
      <c r="E14" s="13" t="s">
        <v>20</v>
      </c>
      <c r="F14" s="11">
        <v>0</v>
      </c>
      <c r="G14" s="15">
        <f>IF(F14&gt;0,F14*C14,0)</f>
        <v>0</v>
      </c>
    </row>
    <row r="15" spans="1:7" ht="15" customHeight="1" x14ac:dyDescent="0.3">
      <c r="A15" s="3" t="s">
        <v>16</v>
      </c>
      <c r="B15" s="3"/>
      <c r="C15" s="3"/>
      <c r="D15" s="3"/>
      <c r="E15" s="3"/>
      <c r="F15" s="3"/>
      <c r="G15" s="16">
        <f>IF(G9&gt;=18,18,SUM(G11:G14))</f>
        <v>0</v>
      </c>
    </row>
    <row r="16" spans="1:7" ht="21.75" customHeight="1" x14ac:dyDescent="0.3">
      <c r="A16" s="4" t="s">
        <v>27</v>
      </c>
      <c r="B16" s="4"/>
      <c r="C16" s="8" t="s">
        <v>3</v>
      </c>
      <c r="D16" s="8" t="s">
        <v>4</v>
      </c>
      <c r="E16" s="8" t="s">
        <v>5</v>
      </c>
      <c r="F16" s="8" t="s">
        <v>6</v>
      </c>
      <c r="G16" s="8" t="s">
        <v>7</v>
      </c>
    </row>
    <row r="17" spans="1:7" ht="30" customHeight="1" x14ac:dyDescent="0.3">
      <c r="A17" s="9" t="s">
        <v>28</v>
      </c>
      <c r="B17" s="10" t="s">
        <v>29</v>
      </c>
      <c r="C17" s="9">
        <v>1</v>
      </c>
      <c r="D17" s="9">
        <v>1</v>
      </c>
      <c r="E17" s="9" t="s">
        <v>30</v>
      </c>
      <c r="F17" s="17">
        <v>2</v>
      </c>
      <c r="G17" s="12">
        <f>F17</f>
        <v>2</v>
      </c>
    </row>
    <row r="18" spans="1:7" ht="15" customHeight="1" x14ac:dyDescent="0.3">
      <c r="A18" s="3" t="s">
        <v>16</v>
      </c>
      <c r="B18" s="3"/>
      <c r="C18" s="3"/>
      <c r="D18" s="3"/>
      <c r="E18" s="3"/>
      <c r="F18" s="3"/>
      <c r="G18" s="16">
        <f>SUM(G17)</f>
        <v>2</v>
      </c>
    </row>
    <row r="19" spans="1:7" ht="21.75" customHeight="1" x14ac:dyDescent="0.3">
      <c r="A19" s="4" t="s">
        <v>31</v>
      </c>
      <c r="B19" s="4"/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</row>
    <row r="20" spans="1:7" x14ac:dyDescent="0.3">
      <c r="A20" s="9" t="s">
        <v>32</v>
      </c>
      <c r="B20" s="10" t="s">
        <v>33</v>
      </c>
      <c r="C20" s="9">
        <v>1</v>
      </c>
      <c r="D20" s="9">
        <v>6</v>
      </c>
      <c r="E20" s="9" t="s">
        <v>34</v>
      </c>
      <c r="F20" s="11">
        <v>0</v>
      </c>
      <c r="G20" s="12">
        <f>F20*C20</f>
        <v>0</v>
      </c>
    </row>
    <row r="21" spans="1:7" x14ac:dyDescent="0.3">
      <c r="A21" s="13" t="s">
        <v>35</v>
      </c>
      <c r="B21" s="14" t="s">
        <v>36</v>
      </c>
      <c r="C21" s="13">
        <v>1</v>
      </c>
      <c r="D21" s="13">
        <v>4</v>
      </c>
      <c r="E21" s="13" t="s">
        <v>34</v>
      </c>
      <c r="F21" s="11">
        <v>0</v>
      </c>
      <c r="G21" s="15">
        <f>F21*C21</f>
        <v>0</v>
      </c>
    </row>
    <row r="22" spans="1:7" ht="22.8" x14ac:dyDescent="0.3">
      <c r="A22" s="9" t="s">
        <v>37</v>
      </c>
      <c r="B22" s="10" t="s">
        <v>38</v>
      </c>
      <c r="C22" s="9">
        <v>2</v>
      </c>
      <c r="D22" s="9">
        <v>4</v>
      </c>
      <c r="E22" s="9" t="s">
        <v>39</v>
      </c>
      <c r="F22" s="11">
        <v>0</v>
      </c>
      <c r="G22" s="12">
        <f>F22*C22</f>
        <v>0</v>
      </c>
    </row>
    <row r="23" spans="1:7" x14ac:dyDescent="0.3">
      <c r="A23" s="13" t="s">
        <v>40</v>
      </c>
      <c r="B23" s="14" t="s">
        <v>41</v>
      </c>
      <c r="C23" s="13">
        <v>2</v>
      </c>
      <c r="D23" s="13">
        <v>1</v>
      </c>
      <c r="E23" s="13" t="s">
        <v>34</v>
      </c>
      <c r="F23" s="11">
        <v>0</v>
      </c>
      <c r="G23" s="15">
        <f>F23*C23</f>
        <v>0</v>
      </c>
    </row>
    <row r="24" spans="1:7" ht="22.8" x14ac:dyDescent="0.3">
      <c r="A24" s="9" t="s">
        <v>42</v>
      </c>
      <c r="B24" s="10" t="s">
        <v>43</v>
      </c>
      <c r="C24" s="9">
        <v>10</v>
      </c>
      <c r="D24" s="9">
        <v>1</v>
      </c>
      <c r="E24" s="9" t="s">
        <v>44</v>
      </c>
      <c r="F24" s="11">
        <v>0</v>
      </c>
      <c r="G24" s="12">
        <f>F24*C24</f>
        <v>0</v>
      </c>
    </row>
    <row r="25" spans="1:7" ht="15" customHeight="1" x14ac:dyDescent="0.3">
      <c r="A25" s="3" t="s">
        <v>16</v>
      </c>
      <c r="B25" s="3"/>
      <c r="C25" s="3"/>
      <c r="D25" s="3"/>
      <c r="E25" s="3"/>
      <c r="F25" s="3"/>
      <c r="G25" s="16">
        <f>IF(SUM(G20:G24)&gt;10,10,SUM(G20:G24))</f>
        <v>0</v>
      </c>
    </row>
    <row r="26" spans="1:7" ht="21.75" customHeight="1" x14ac:dyDescent="0.3">
      <c r="A26" s="4" t="s">
        <v>45</v>
      </c>
      <c r="B26" s="4"/>
      <c r="C26" s="8" t="s">
        <v>3</v>
      </c>
      <c r="D26" s="8" t="s">
        <v>4</v>
      </c>
      <c r="E26" s="8" t="s">
        <v>5</v>
      </c>
      <c r="F26" s="8" t="s">
        <v>6</v>
      </c>
      <c r="G26" s="8" t="s">
        <v>7</v>
      </c>
    </row>
    <row r="27" spans="1:7" x14ac:dyDescent="0.3">
      <c r="A27" s="9" t="s">
        <v>46</v>
      </c>
      <c r="B27" s="10" t="s">
        <v>47</v>
      </c>
      <c r="C27" s="9">
        <v>8</v>
      </c>
      <c r="D27" s="9">
        <v>1</v>
      </c>
      <c r="E27" s="9" t="s">
        <v>48</v>
      </c>
      <c r="F27" s="11">
        <v>0</v>
      </c>
      <c r="G27" s="12">
        <f>F27*C27</f>
        <v>0</v>
      </c>
    </row>
    <row r="28" spans="1:7" x14ac:dyDescent="0.3">
      <c r="A28" s="13" t="s">
        <v>49</v>
      </c>
      <c r="B28" s="14" t="s">
        <v>50</v>
      </c>
      <c r="C28" s="13">
        <v>1</v>
      </c>
      <c r="D28" s="13">
        <v>2</v>
      </c>
      <c r="E28" s="13" t="s">
        <v>51</v>
      </c>
      <c r="F28" s="11">
        <v>0</v>
      </c>
      <c r="G28" s="15">
        <f>F28*C28</f>
        <v>0</v>
      </c>
    </row>
    <row r="29" spans="1:7" ht="15" customHeight="1" x14ac:dyDescent="0.3">
      <c r="A29" s="3" t="s">
        <v>16</v>
      </c>
      <c r="B29" s="3"/>
      <c r="C29" s="3"/>
      <c r="D29" s="3"/>
      <c r="E29" s="3"/>
      <c r="F29" s="3"/>
      <c r="G29" s="16">
        <f>IF(SUM(G27:G28)&gt;10,10,SUM(G27:G28))</f>
        <v>0</v>
      </c>
    </row>
    <row r="30" spans="1:7" ht="33.6" customHeight="1" x14ac:dyDescent="0.3">
      <c r="A30" s="25" t="s">
        <v>189</v>
      </c>
      <c r="B30" s="24"/>
      <c r="C30" s="8" t="s">
        <v>3</v>
      </c>
      <c r="D30" s="8" t="s">
        <v>4</v>
      </c>
      <c r="E30" s="8" t="s">
        <v>5</v>
      </c>
      <c r="F30" s="8" t="s">
        <v>6</v>
      </c>
      <c r="G30" s="8" t="s">
        <v>7</v>
      </c>
    </row>
    <row r="31" spans="1:7" ht="22.8" x14ac:dyDescent="0.3">
      <c r="A31" s="9" t="s">
        <v>52</v>
      </c>
      <c r="B31" s="10" t="s">
        <v>53</v>
      </c>
      <c r="C31" s="9">
        <v>2</v>
      </c>
      <c r="D31" s="9">
        <v>5</v>
      </c>
      <c r="E31" s="9" t="s">
        <v>54</v>
      </c>
      <c r="F31" s="11">
        <v>0</v>
      </c>
      <c r="G31" s="12">
        <f>F31*C31</f>
        <v>0</v>
      </c>
    </row>
    <row r="32" spans="1:7" x14ac:dyDescent="0.3">
      <c r="A32" s="13" t="s">
        <v>55</v>
      </c>
      <c r="B32" s="14" t="s">
        <v>56</v>
      </c>
      <c r="C32" s="13">
        <v>8</v>
      </c>
      <c r="D32" s="13">
        <v>1</v>
      </c>
      <c r="E32" s="13" t="s">
        <v>57</v>
      </c>
      <c r="F32" s="11">
        <v>0</v>
      </c>
      <c r="G32" s="15">
        <f>F32*C32</f>
        <v>0</v>
      </c>
    </row>
    <row r="33" spans="1:7" ht="15" customHeight="1" x14ac:dyDescent="0.3">
      <c r="A33" s="3" t="s">
        <v>16</v>
      </c>
      <c r="B33" s="3"/>
      <c r="C33" s="3"/>
      <c r="D33" s="3"/>
      <c r="E33" s="3"/>
      <c r="F33" s="3"/>
      <c r="G33" s="16">
        <f>IF(SUM(G31:G32)&gt;10,10,SUM(G31:G32))</f>
        <v>0</v>
      </c>
    </row>
    <row r="34" spans="1:7" ht="24.6" customHeight="1" x14ac:dyDescent="0.3">
      <c r="A34" s="18" t="s">
        <v>184</v>
      </c>
      <c r="B34" s="18"/>
      <c r="C34" s="18"/>
      <c r="D34" s="18"/>
      <c r="E34" s="18"/>
      <c r="F34" s="18"/>
      <c r="G34" s="19"/>
    </row>
    <row r="35" spans="1:7" ht="21.75" customHeight="1" x14ac:dyDescent="0.3">
      <c r="A35" s="4" t="s">
        <v>58</v>
      </c>
      <c r="B35" s="4"/>
      <c r="C35" s="8" t="s">
        <v>3</v>
      </c>
      <c r="D35" s="8" t="s">
        <v>4</v>
      </c>
      <c r="E35" s="8" t="s">
        <v>5</v>
      </c>
      <c r="F35" s="8" t="s">
        <v>6</v>
      </c>
      <c r="G35" s="8" t="s">
        <v>7</v>
      </c>
    </row>
    <row r="36" spans="1:7" ht="28.2" customHeight="1" x14ac:dyDescent="0.3">
      <c r="A36" s="9" t="s">
        <v>59</v>
      </c>
      <c r="B36" s="10" t="s">
        <v>60</v>
      </c>
      <c r="C36" s="9">
        <v>4</v>
      </c>
      <c r="D36" s="9">
        <v>3</v>
      </c>
      <c r="E36" s="9" t="s">
        <v>51</v>
      </c>
      <c r="F36" s="11">
        <v>0</v>
      </c>
      <c r="G36" s="12">
        <f>F36*C36</f>
        <v>0</v>
      </c>
    </row>
    <row r="37" spans="1:7" ht="34.200000000000003" x14ac:dyDescent="0.3">
      <c r="A37" s="13" t="s">
        <v>61</v>
      </c>
      <c r="B37" s="14" t="s">
        <v>62</v>
      </c>
      <c r="C37" s="13">
        <v>6</v>
      </c>
      <c r="D37" s="13">
        <v>2</v>
      </c>
      <c r="E37" s="13" t="s">
        <v>51</v>
      </c>
      <c r="F37" s="11">
        <v>0</v>
      </c>
      <c r="G37" s="12">
        <f t="shared" ref="G37:G48" si="0">F37*C37</f>
        <v>0</v>
      </c>
    </row>
    <row r="38" spans="1:7" ht="22.8" x14ac:dyDescent="0.3">
      <c r="A38" s="9" t="s">
        <v>63</v>
      </c>
      <c r="B38" s="10" t="s">
        <v>64</v>
      </c>
      <c r="C38" s="9">
        <v>3</v>
      </c>
      <c r="D38" s="9">
        <v>2</v>
      </c>
      <c r="E38" s="9" t="s">
        <v>51</v>
      </c>
      <c r="F38" s="11">
        <v>0</v>
      </c>
      <c r="G38" s="12">
        <f t="shared" si="0"/>
        <v>0</v>
      </c>
    </row>
    <row r="39" spans="1:7" ht="22.8" x14ac:dyDescent="0.3">
      <c r="A39" s="13" t="s">
        <v>65</v>
      </c>
      <c r="B39" s="14" t="s">
        <v>66</v>
      </c>
      <c r="C39" s="13">
        <v>2</v>
      </c>
      <c r="D39" s="13">
        <v>4</v>
      </c>
      <c r="E39" s="13" t="s">
        <v>34</v>
      </c>
      <c r="F39" s="11">
        <v>0</v>
      </c>
      <c r="G39" s="12">
        <f t="shared" si="0"/>
        <v>0</v>
      </c>
    </row>
    <row r="40" spans="1:7" x14ac:dyDescent="0.3">
      <c r="A40" s="9" t="s">
        <v>67</v>
      </c>
      <c r="B40" s="10" t="s">
        <v>68</v>
      </c>
      <c r="C40" s="9">
        <v>16</v>
      </c>
      <c r="D40" s="9">
        <v>1</v>
      </c>
      <c r="E40" s="9" t="s">
        <v>69</v>
      </c>
      <c r="F40" s="11">
        <v>0</v>
      </c>
      <c r="G40" s="12">
        <f t="shared" si="0"/>
        <v>0</v>
      </c>
    </row>
    <row r="41" spans="1:7" ht="30" customHeight="1" x14ac:dyDescent="0.3">
      <c r="A41" s="13" t="s">
        <v>70</v>
      </c>
      <c r="B41" s="14" t="s">
        <v>71</v>
      </c>
      <c r="C41" s="13">
        <v>8</v>
      </c>
      <c r="D41" s="13">
        <v>1</v>
      </c>
      <c r="E41" s="13" t="s">
        <v>72</v>
      </c>
      <c r="F41" s="11">
        <v>0</v>
      </c>
      <c r="G41" s="12">
        <f t="shared" si="0"/>
        <v>0</v>
      </c>
    </row>
    <row r="42" spans="1:7" ht="22.8" x14ac:dyDescent="0.3">
      <c r="A42" s="9" t="s">
        <v>73</v>
      </c>
      <c r="B42" s="10" t="s">
        <v>74</v>
      </c>
      <c r="C42" s="9">
        <v>16</v>
      </c>
      <c r="D42" s="9">
        <v>1</v>
      </c>
      <c r="E42" s="9" t="s">
        <v>72</v>
      </c>
      <c r="F42" s="11">
        <v>0</v>
      </c>
      <c r="G42" s="12">
        <f t="shared" si="0"/>
        <v>0</v>
      </c>
    </row>
    <row r="43" spans="1:7" ht="34.200000000000003" x14ac:dyDescent="0.3">
      <c r="A43" s="13" t="s">
        <v>75</v>
      </c>
      <c r="B43" s="14" t="s">
        <v>76</v>
      </c>
      <c r="C43" s="13">
        <v>6</v>
      </c>
      <c r="D43" s="13">
        <v>2</v>
      </c>
      <c r="E43" s="13" t="s">
        <v>51</v>
      </c>
      <c r="F43" s="11">
        <v>0</v>
      </c>
      <c r="G43" s="12">
        <f t="shared" si="0"/>
        <v>0</v>
      </c>
    </row>
    <row r="44" spans="1:7" x14ac:dyDescent="0.3">
      <c r="A44" s="9" t="s">
        <v>77</v>
      </c>
      <c r="B44" s="10" t="s">
        <v>78</v>
      </c>
      <c r="C44" s="9">
        <v>2</v>
      </c>
      <c r="D44" s="9">
        <v>1</v>
      </c>
      <c r="E44" s="9" t="s">
        <v>79</v>
      </c>
      <c r="F44" s="11">
        <v>0</v>
      </c>
      <c r="G44" s="12">
        <f t="shared" si="0"/>
        <v>0</v>
      </c>
    </row>
    <row r="45" spans="1:7" x14ac:dyDescent="0.3">
      <c r="A45" s="13" t="s">
        <v>80</v>
      </c>
      <c r="B45" s="14" t="s">
        <v>81</v>
      </c>
      <c r="C45" s="13">
        <v>4</v>
      </c>
      <c r="D45" s="13">
        <v>1</v>
      </c>
      <c r="E45" s="13" t="s">
        <v>82</v>
      </c>
      <c r="F45" s="11">
        <v>0</v>
      </c>
      <c r="G45" s="12">
        <f t="shared" si="0"/>
        <v>0</v>
      </c>
    </row>
    <row r="46" spans="1:7" x14ac:dyDescent="0.3">
      <c r="A46" s="9" t="s">
        <v>83</v>
      </c>
      <c r="B46" s="10" t="s">
        <v>84</v>
      </c>
      <c r="C46" s="9">
        <v>2</v>
      </c>
      <c r="D46" s="9">
        <v>1</v>
      </c>
      <c r="E46" s="9" t="s">
        <v>85</v>
      </c>
      <c r="F46" s="11">
        <v>0</v>
      </c>
      <c r="G46" s="12">
        <f t="shared" si="0"/>
        <v>0</v>
      </c>
    </row>
    <row r="47" spans="1:7" x14ac:dyDescent="0.3">
      <c r="A47" s="13" t="s">
        <v>86</v>
      </c>
      <c r="B47" s="14" t="s">
        <v>87</v>
      </c>
      <c r="C47" s="13">
        <v>4</v>
      </c>
      <c r="D47" s="13">
        <v>1</v>
      </c>
      <c r="E47" s="13" t="s">
        <v>88</v>
      </c>
      <c r="F47" s="11">
        <v>0</v>
      </c>
      <c r="G47" s="12">
        <f t="shared" si="0"/>
        <v>0</v>
      </c>
    </row>
    <row r="48" spans="1:7" x14ac:dyDescent="0.3">
      <c r="A48" s="9" t="s">
        <v>89</v>
      </c>
      <c r="B48" s="10" t="s">
        <v>90</v>
      </c>
      <c r="C48" s="9">
        <v>2</v>
      </c>
      <c r="D48" s="9">
        <v>1</v>
      </c>
      <c r="E48" s="9" t="s">
        <v>69</v>
      </c>
      <c r="F48" s="11">
        <v>0</v>
      </c>
      <c r="G48" s="12">
        <f t="shared" si="0"/>
        <v>0</v>
      </c>
    </row>
    <row r="49" spans="1:7" ht="15" customHeight="1" x14ac:dyDescent="0.3">
      <c r="A49" s="3" t="s">
        <v>16</v>
      </c>
      <c r="B49" s="3"/>
      <c r="C49" s="3"/>
      <c r="D49" s="3"/>
      <c r="E49" s="3"/>
      <c r="F49" s="3"/>
      <c r="G49" s="16">
        <f>IF(SUM(G36:G48)&gt;18,18,SUM(G36:G48))</f>
        <v>0</v>
      </c>
    </row>
    <row r="50" spans="1:7" ht="22.2" customHeight="1" x14ac:dyDescent="0.3">
      <c r="A50" s="18" t="s">
        <v>185</v>
      </c>
      <c r="B50" s="21"/>
      <c r="C50" s="21"/>
      <c r="D50" s="21"/>
      <c r="E50" s="21"/>
      <c r="F50" s="21"/>
      <c r="G50" s="22"/>
    </row>
    <row r="51" spans="1:7" ht="21.75" customHeight="1" x14ac:dyDescent="0.3">
      <c r="A51" s="4" t="s">
        <v>91</v>
      </c>
      <c r="B51" s="4"/>
      <c r="C51" s="8" t="s">
        <v>3</v>
      </c>
      <c r="D51" s="8" t="s">
        <v>4</v>
      </c>
      <c r="E51" s="8" t="s">
        <v>5</v>
      </c>
      <c r="F51" s="8" t="s">
        <v>6</v>
      </c>
      <c r="G51" s="8" t="s">
        <v>7</v>
      </c>
    </row>
    <row r="52" spans="1:7" ht="30" customHeight="1" x14ac:dyDescent="0.3">
      <c r="A52" s="9" t="s">
        <v>92</v>
      </c>
      <c r="B52" s="10" t="s">
        <v>93</v>
      </c>
      <c r="C52" s="9">
        <v>4</v>
      </c>
      <c r="D52" s="9">
        <v>3</v>
      </c>
      <c r="E52" s="9" t="s">
        <v>51</v>
      </c>
      <c r="F52" s="11">
        <v>0</v>
      </c>
      <c r="G52" s="12">
        <f>F52*C52</f>
        <v>0</v>
      </c>
    </row>
    <row r="53" spans="1:7" ht="30" customHeight="1" x14ac:dyDescent="0.3">
      <c r="A53" s="13" t="s">
        <v>94</v>
      </c>
      <c r="B53" s="14" t="s">
        <v>95</v>
      </c>
      <c r="C53" s="13">
        <v>6</v>
      </c>
      <c r="D53" s="13">
        <v>2</v>
      </c>
      <c r="E53" s="13" t="s">
        <v>51</v>
      </c>
      <c r="F53" s="11">
        <v>0</v>
      </c>
      <c r="G53" s="12">
        <f t="shared" ref="G53:G60" si="1">F53*C53</f>
        <v>0</v>
      </c>
    </row>
    <row r="54" spans="1:7" ht="30" customHeight="1" x14ac:dyDescent="0.3">
      <c r="A54" s="9" t="s">
        <v>96</v>
      </c>
      <c r="B54" s="10" t="s">
        <v>97</v>
      </c>
      <c r="C54" s="9">
        <v>3</v>
      </c>
      <c r="D54" s="9">
        <v>2</v>
      </c>
      <c r="E54" s="9" t="s">
        <v>51</v>
      </c>
      <c r="F54" s="11">
        <v>0</v>
      </c>
      <c r="G54" s="12">
        <f t="shared" si="1"/>
        <v>0</v>
      </c>
    </row>
    <row r="55" spans="1:7" ht="30" customHeight="1" x14ac:dyDescent="0.3">
      <c r="A55" s="13" t="s">
        <v>98</v>
      </c>
      <c r="B55" s="14" t="s">
        <v>99</v>
      </c>
      <c r="C55" s="13">
        <v>16</v>
      </c>
      <c r="D55" s="13">
        <v>1</v>
      </c>
      <c r="E55" s="13" t="s">
        <v>100</v>
      </c>
      <c r="F55" s="11">
        <v>0</v>
      </c>
      <c r="G55" s="12">
        <f t="shared" si="1"/>
        <v>0</v>
      </c>
    </row>
    <row r="56" spans="1:7" ht="30" customHeight="1" x14ac:dyDescent="0.3">
      <c r="A56" s="9" t="s">
        <v>101</v>
      </c>
      <c r="B56" s="10" t="s">
        <v>102</v>
      </c>
      <c r="C56" s="9">
        <v>5</v>
      </c>
      <c r="D56" s="9">
        <v>1</v>
      </c>
      <c r="E56" s="9" t="s">
        <v>100</v>
      </c>
      <c r="F56" s="11">
        <v>0</v>
      </c>
      <c r="G56" s="12">
        <f t="shared" si="1"/>
        <v>0</v>
      </c>
    </row>
    <row r="57" spans="1:7" ht="30" customHeight="1" x14ac:dyDescent="0.3">
      <c r="A57" s="13" t="s">
        <v>103</v>
      </c>
      <c r="B57" s="14" t="s">
        <v>104</v>
      </c>
      <c r="C57" s="13">
        <v>3</v>
      </c>
      <c r="D57" s="13">
        <v>1</v>
      </c>
      <c r="E57" s="13" t="s">
        <v>105</v>
      </c>
      <c r="F57" s="11">
        <v>0</v>
      </c>
      <c r="G57" s="12">
        <f t="shared" si="1"/>
        <v>0</v>
      </c>
    </row>
    <row r="58" spans="1:7" ht="30" customHeight="1" x14ac:dyDescent="0.3">
      <c r="A58" s="9" t="s">
        <v>106</v>
      </c>
      <c r="B58" s="10" t="s">
        <v>107</v>
      </c>
      <c r="C58" s="9">
        <v>0.05</v>
      </c>
      <c r="D58" s="9">
        <v>240</v>
      </c>
      <c r="E58" s="9" t="s">
        <v>108</v>
      </c>
      <c r="F58" s="11">
        <v>0</v>
      </c>
      <c r="G58" s="12">
        <f t="shared" si="1"/>
        <v>0</v>
      </c>
    </row>
    <row r="59" spans="1:7" ht="30" customHeight="1" x14ac:dyDescent="0.3">
      <c r="A59" s="13" t="s">
        <v>109</v>
      </c>
      <c r="B59" s="14" t="s">
        <v>110</v>
      </c>
      <c r="C59" s="13">
        <v>0.05</v>
      </c>
      <c r="D59" s="13">
        <v>120</v>
      </c>
      <c r="E59" s="13" t="s">
        <v>20</v>
      </c>
      <c r="F59" s="11">
        <v>0</v>
      </c>
      <c r="G59" s="12">
        <f t="shared" si="1"/>
        <v>0</v>
      </c>
    </row>
    <row r="60" spans="1:7" ht="30" customHeight="1" x14ac:dyDescent="0.3">
      <c r="A60" s="9" t="s">
        <v>111</v>
      </c>
      <c r="B60" s="10" t="s">
        <v>112</v>
      </c>
      <c r="C60" s="9">
        <v>1</v>
      </c>
      <c r="D60" s="9">
        <v>2</v>
      </c>
      <c r="E60" s="9" t="s">
        <v>113</v>
      </c>
      <c r="F60" s="11">
        <v>0</v>
      </c>
      <c r="G60" s="12">
        <f t="shared" si="1"/>
        <v>0</v>
      </c>
    </row>
    <row r="61" spans="1:7" ht="15" customHeight="1" x14ac:dyDescent="0.3">
      <c r="A61" s="3" t="s">
        <v>16</v>
      </c>
      <c r="B61" s="3"/>
      <c r="C61" s="3"/>
      <c r="D61" s="3"/>
      <c r="E61" s="3"/>
      <c r="F61" s="3"/>
      <c r="G61" s="16">
        <f>IF(SUM(G52:G60)&gt;18,18,SUM(G52:G60))</f>
        <v>0</v>
      </c>
    </row>
    <row r="62" spans="1:7" ht="31.2" customHeight="1" x14ac:dyDescent="0.3">
      <c r="A62" s="18" t="s">
        <v>186</v>
      </c>
      <c r="B62" s="18"/>
      <c r="C62" s="18"/>
      <c r="D62" s="18"/>
      <c r="E62" s="18"/>
      <c r="F62" s="18"/>
      <c r="G62" s="19"/>
    </row>
    <row r="63" spans="1:7" ht="27" customHeight="1" x14ac:dyDescent="0.3">
      <c r="A63" s="4" t="s">
        <v>114</v>
      </c>
      <c r="B63" s="4"/>
      <c r="C63" s="8" t="s">
        <v>3</v>
      </c>
      <c r="D63" s="8" t="s">
        <v>4</v>
      </c>
      <c r="E63" s="8" t="s">
        <v>5</v>
      </c>
      <c r="F63" s="8" t="s">
        <v>6</v>
      </c>
      <c r="G63" s="8" t="s">
        <v>7</v>
      </c>
    </row>
    <row r="64" spans="1:7" ht="30" customHeight="1" x14ac:dyDescent="0.3">
      <c r="A64" s="9" t="s">
        <v>115</v>
      </c>
      <c r="B64" s="10" t="s">
        <v>116</v>
      </c>
      <c r="C64" s="9">
        <v>2</v>
      </c>
      <c r="D64" s="9">
        <v>3</v>
      </c>
      <c r="E64" s="9" t="s">
        <v>54</v>
      </c>
      <c r="F64" s="11">
        <v>0</v>
      </c>
      <c r="G64" s="12">
        <f>F64*C64</f>
        <v>0</v>
      </c>
    </row>
    <row r="65" spans="1:7" ht="30" customHeight="1" x14ac:dyDescent="0.3">
      <c r="A65" s="13" t="s">
        <v>117</v>
      </c>
      <c r="B65" s="14" t="s">
        <v>118</v>
      </c>
      <c r="C65" s="13">
        <v>8</v>
      </c>
      <c r="D65" s="13">
        <v>1</v>
      </c>
      <c r="E65" s="13" t="s">
        <v>57</v>
      </c>
      <c r="F65" s="11">
        <v>0</v>
      </c>
      <c r="G65" s="15">
        <f>F65*C65</f>
        <v>0</v>
      </c>
    </row>
    <row r="66" spans="1:7" ht="15" customHeight="1" x14ac:dyDescent="0.3">
      <c r="A66" s="3" t="s">
        <v>16</v>
      </c>
      <c r="B66" s="3"/>
      <c r="C66" s="3"/>
      <c r="D66" s="3"/>
      <c r="E66" s="3"/>
      <c r="F66" s="3"/>
      <c r="G66" s="16">
        <f>IF(SUM(G64:G65)&gt;8,8,SUM(G64:G65))</f>
        <v>0</v>
      </c>
    </row>
    <row r="67" spans="1:7" ht="15" customHeight="1" x14ac:dyDescent="0.3">
      <c r="A67" s="18" t="s">
        <v>187</v>
      </c>
      <c r="B67" s="18"/>
      <c r="C67" s="18"/>
      <c r="D67" s="18"/>
      <c r="E67" s="18"/>
      <c r="F67" s="18"/>
      <c r="G67" s="19"/>
    </row>
    <row r="68" spans="1:7" ht="21.75" customHeight="1" x14ac:dyDescent="0.3">
      <c r="A68" s="4" t="s">
        <v>119</v>
      </c>
      <c r="B68" s="4"/>
      <c r="C68" s="8" t="s">
        <v>3</v>
      </c>
      <c r="D68" s="8" t="s">
        <v>4</v>
      </c>
      <c r="E68" s="8" t="s">
        <v>5</v>
      </c>
      <c r="F68" s="8" t="s">
        <v>6</v>
      </c>
      <c r="G68" s="8" t="s">
        <v>7</v>
      </c>
    </row>
    <row r="69" spans="1:7" ht="30" customHeight="1" x14ac:dyDescent="0.3">
      <c r="A69" s="9" t="s">
        <v>120</v>
      </c>
      <c r="B69" s="10" t="s">
        <v>121</v>
      </c>
      <c r="C69" s="9">
        <v>18</v>
      </c>
      <c r="D69" s="9">
        <v>1</v>
      </c>
      <c r="E69" s="9" t="s">
        <v>122</v>
      </c>
      <c r="F69" s="11">
        <v>0</v>
      </c>
      <c r="G69" s="12">
        <f>F69*C69</f>
        <v>0</v>
      </c>
    </row>
    <row r="70" spans="1:7" ht="30" customHeight="1" x14ac:dyDescent="0.3">
      <c r="A70" s="13" t="s">
        <v>123</v>
      </c>
      <c r="B70" s="14" t="s">
        <v>124</v>
      </c>
      <c r="C70" s="13">
        <v>18</v>
      </c>
      <c r="D70" s="13">
        <v>1</v>
      </c>
      <c r="E70" s="13" t="s">
        <v>125</v>
      </c>
      <c r="F70" s="11">
        <v>0</v>
      </c>
      <c r="G70" s="12">
        <f t="shared" ref="G70:G79" si="2">F70*C70</f>
        <v>0</v>
      </c>
    </row>
    <row r="71" spans="1:7" ht="30" customHeight="1" x14ac:dyDescent="0.3">
      <c r="A71" s="9" t="s">
        <v>126</v>
      </c>
      <c r="B71" s="10" t="s">
        <v>127</v>
      </c>
      <c r="C71" s="9">
        <v>18</v>
      </c>
      <c r="D71" s="9">
        <v>1</v>
      </c>
      <c r="E71" s="9" t="s">
        <v>128</v>
      </c>
      <c r="F71" s="11">
        <v>0</v>
      </c>
      <c r="G71" s="12">
        <f t="shared" si="2"/>
        <v>0</v>
      </c>
    </row>
    <row r="72" spans="1:7" ht="30" customHeight="1" x14ac:dyDescent="0.3">
      <c r="A72" s="13" t="s">
        <v>129</v>
      </c>
      <c r="B72" s="14" t="s">
        <v>130</v>
      </c>
      <c r="C72" s="13">
        <v>18</v>
      </c>
      <c r="D72" s="13">
        <v>1</v>
      </c>
      <c r="E72" s="13" t="s">
        <v>131</v>
      </c>
      <c r="F72" s="11">
        <v>0</v>
      </c>
      <c r="G72" s="12">
        <f t="shared" si="2"/>
        <v>0</v>
      </c>
    </row>
    <row r="73" spans="1:7" ht="30" customHeight="1" x14ac:dyDescent="0.3">
      <c r="A73" s="9" t="s">
        <v>132</v>
      </c>
      <c r="B73" s="10" t="s">
        <v>133</v>
      </c>
      <c r="C73" s="9">
        <v>18</v>
      </c>
      <c r="D73" s="9">
        <v>1</v>
      </c>
      <c r="E73" s="9" t="s">
        <v>134</v>
      </c>
      <c r="F73" s="11">
        <v>0</v>
      </c>
      <c r="G73" s="12">
        <f t="shared" si="2"/>
        <v>0</v>
      </c>
    </row>
    <row r="74" spans="1:7" ht="30" customHeight="1" x14ac:dyDescent="0.3">
      <c r="A74" s="13" t="s">
        <v>135</v>
      </c>
      <c r="B74" s="14" t="s">
        <v>136</v>
      </c>
      <c r="C74" s="13">
        <v>18</v>
      </c>
      <c r="D74" s="13">
        <v>1</v>
      </c>
      <c r="E74" s="13" t="s">
        <v>137</v>
      </c>
      <c r="F74" s="11">
        <v>0</v>
      </c>
      <c r="G74" s="12">
        <f t="shared" si="2"/>
        <v>0</v>
      </c>
    </row>
    <row r="75" spans="1:7" ht="30" customHeight="1" x14ac:dyDescent="0.3">
      <c r="A75" s="9" t="s">
        <v>138</v>
      </c>
      <c r="B75" s="10" t="s">
        <v>139</v>
      </c>
      <c r="C75" s="9">
        <v>18</v>
      </c>
      <c r="D75" s="9">
        <v>1</v>
      </c>
      <c r="E75" s="9" t="s">
        <v>140</v>
      </c>
      <c r="F75" s="11">
        <v>0</v>
      </c>
      <c r="G75" s="12">
        <f t="shared" si="2"/>
        <v>0</v>
      </c>
    </row>
    <row r="76" spans="1:7" ht="30" customHeight="1" x14ac:dyDescent="0.3">
      <c r="A76" s="13" t="s">
        <v>141</v>
      </c>
      <c r="B76" s="14" t="s">
        <v>142</v>
      </c>
      <c r="C76" s="13">
        <v>18</v>
      </c>
      <c r="D76" s="13">
        <v>1</v>
      </c>
      <c r="E76" s="13" t="s">
        <v>143</v>
      </c>
      <c r="F76" s="11">
        <v>0</v>
      </c>
      <c r="G76" s="12">
        <f t="shared" si="2"/>
        <v>0</v>
      </c>
    </row>
    <row r="77" spans="1:7" ht="30" customHeight="1" x14ac:dyDescent="0.3">
      <c r="A77" s="9" t="s">
        <v>144</v>
      </c>
      <c r="B77" s="10" t="s">
        <v>145</v>
      </c>
      <c r="C77" s="9">
        <v>18</v>
      </c>
      <c r="D77" s="9">
        <v>1</v>
      </c>
      <c r="E77" s="9" t="s">
        <v>146</v>
      </c>
      <c r="F77" s="11">
        <v>0</v>
      </c>
      <c r="G77" s="12">
        <f t="shared" si="2"/>
        <v>0</v>
      </c>
    </row>
    <row r="78" spans="1:7" ht="30" customHeight="1" x14ac:dyDescent="0.3">
      <c r="A78" s="13" t="s">
        <v>147</v>
      </c>
      <c r="B78" s="14" t="s">
        <v>148</v>
      </c>
      <c r="C78" s="13">
        <v>12</v>
      </c>
      <c r="D78" s="13">
        <v>1</v>
      </c>
      <c r="E78" s="13" t="s">
        <v>146</v>
      </c>
      <c r="F78" s="11">
        <v>0</v>
      </c>
      <c r="G78" s="12">
        <f t="shared" si="2"/>
        <v>0</v>
      </c>
    </row>
    <row r="79" spans="1:7" ht="30" customHeight="1" x14ac:dyDescent="0.3">
      <c r="A79" s="9" t="s">
        <v>149</v>
      </c>
      <c r="B79" s="10" t="s">
        <v>150</v>
      </c>
      <c r="C79" s="9">
        <v>12</v>
      </c>
      <c r="D79" s="9">
        <v>1</v>
      </c>
      <c r="E79" s="9" t="s">
        <v>146</v>
      </c>
      <c r="F79" s="11">
        <v>0</v>
      </c>
      <c r="G79" s="12">
        <f t="shared" si="2"/>
        <v>0</v>
      </c>
    </row>
    <row r="80" spans="1:7" ht="15" customHeight="1" x14ac:dyDescent="0.3">
      <c r="A80" s="3" t="s">
        <v>16</v>
      </c>
      <c r="B80" s="3"/>
      <c r="C80" s="3"/>
      <c r="D80" s="3"/>
      <c r="E80" s="3"/>
      <c r="F80" s="3"/>
      <c r="G80" s="26">
        <f>IF(SUM(G69:G79)&gt;18,18,SUM(G69:G70))</f>
        <v>0</v>
      </c>
    </row>
    <row r="81" spans="1:7" ht="19.8" customHeight="1" x14ac:dyDescent="0.3">
      <c r="A81" s="18" t="s">
        <v>188</v>
      </c>
      <c r="B81" s="18"/>
      <c r="C81" s="18"/>
      <c r="D81" s="18"/>
      <c r="E81" s="18"/>
      <c r="F81" s="18"/>
      <c r="G81" s="19"/>
    </row>
    <row r="82" spans="1:7" ht="21.75" customHeight="1" x14ac:dyDescent="0.3">
      <c r="A82" s="4" t="s">
        <v>151</v>
      </c>
      <c r="B82" s="4"/>
      <c r="C82" s="8" t="s">
        <v>3</v>
      </c>
      <c r="D82" s="8" t="s">
        <v>4</v>
      </c>
      <c r="E82" s="8" t="s">
        <v>5</v>
      </c>
      <c r="F82" s="8" t="s">
        <v>6</v>
      </c>
      <c r="G82" s="8" t="s">
        <v>7</v>
      </c>
    </row>
    <row r="83" spans="1:7" ht="30" customHeight="1" x14ac:dyDescent="0.3">
      <c r="A83" s="9" t="s">
        <v>152</v>
      </c>
      <c r="B83" s="10" t="s">
        <v>153</v>
      </c>
      <c r="C83" s="9">
        <v>3</v>
      </c>
      <c r="D83" s="9">
        <v>1</v>
      </c>
      <c r="E83" s="9" t="s">
        <v>30</v>
      </c>
      <c r="F83" s="11">
        <v>0</v>
      </c>
      <c r="G83" s="12">
        <f>F83*C83</f>
        <v>0</v>
      </c>
    </row>
    <row r="84" spans="1:7" ht="30" customHeight="1" x14ac:dyDescent="0.3">
      <c r="A84" s="13" t="s">
        <v>154</v>
      </c>
      <c r="B84" s="14" t="s">
        <v>155</v>
      </c>
      <c r="C84" s="13">
        <v>8</v>
      </c>
      <c r="D84" s="13">
        <v>1</v>
      </c>
      <c r="E84" s="13" t="s">
        <v>30</v>
      </c>
      <c r="F84" s="11">
        <v>0</v>
      </c>
      <c r="G84" s="12">
        <f t="shared" ref="G84:G91" si="3">F84*C84</f>
        <v>0</v>
      </c>
    </row>
    <row r="85" spans="1:7" ht="30" customHeight="1" x14ac:dyDescent="0.3">
      <c r="A85" s="9" t="s">
        <v>156</v>
      </c>
      <c r="B85" s="10" t="s">
        <v>157</v>
      </c>
      <c r="C85" s="9">
        <v>4</v>
      </c>
      <c r="D85" s="9">
        <v>1</v>
      </c>
      <c r="E85" s="9" t="s">
        <v>30</v>
      </c>
      <c r="F85" s="11">
        <v>0</v>
      </c>
      <c r="G85" s="12">
        <f t="shared" si="3"/>
        <v>0</v>
      </c>
    </row>
    <row r="86" spans="1:7" ht="30" customHeight="1" x14ac:dyDescent="0.3">
      <c r="A86" s="13" t="s">
        <v>158</v>
      </c>
      <c r="B86" s="14" t="s">
        <v>159</v>
      </c>
      <c r="C86" s="13">
        <v>1</v>
      </c>
      <c r="D86" s="13">
        <v>1</v>
      </c>
      <c r="E86" s="13" t="s">
        <v>30</v>
      </c>
      <c r="F86" s="11">
        <v>0</v>
      </c>
      <c r="G86" s="12">
        <f t="shared" si="3"/>
        <v>0</v>
      </c>
    </row>
    <row r="87" spans="1:7" ht="30" customHeight="1" x14ac:dyDescent="0.3">
      <c r="A87" s="9" t="s">
        <v>160</v>
      </c>
      <c r="B87" s="10" t="s">
        <v>161</v>
      </c>
      <c r="C87" s="9">
        <v>1</v>
      </c>
      <c r="D87" s="9">
        <v>2</v>
      </c>
      <c r="E87" s="9" t="s">
        <v>122</v>
      </c>
      <c r="F87" s="11">
        <v>0</v>
      </c>
      <c r="G87" s="12">
        <f t="shared" si="3"/>
        <v>0</v>
      </c>
    </row>
    <row r="88" spans="1:7" ht="30" customHeight="1" x14ac:dyDescent="0.3">
      <c r="A88" s="13" t="s">
        <v>162</v>
      </c>
      <c r="B88" s="14" t="s">
        <v>163</v>
      </c>
      <c r="C88" s="13">
        <v>1</v>
      </c>
      <c r="D88" s="13">
        <v>2</v>
      </c>
      <c r="E88" s="13" t="s">
        <v>122</v>
      </c>
      <c r="F88" s="11">
        <v>0</v>
      </c>
      <c r="G88" s="12">
        <f t="shared" si="3"/>
        <v>0</v>
      </c>
    </row>
    <row r="89" spans="1:7" ht="30" customHeight="1" x14ac:dyDescent="0.3">
      <c r="A89" s="9" t="s">
        <v>164</v>
      </c>
      <c r="B89" s="10" t="s">
        <v>165</v>
      </c>
      <c r="C89" s="9">
        <v>4</v>
      </c>
      <c r="D89" s="9">
        <v>1</v>
      </c>
      <c r="E89" s="9" t="s">
        <v>166</v>
      </c>
      <c r="F89" s="11">
        <v>0</v>
      </c>
      <c r="G89" s="12">
        <f t="shared" si="3"/>
        <v>0</v>
      </c>
    </row>
    <row r="90" spans="1:7" ht="30" customHeight="1" x14ac:dyDescent="0.3">
      <c r="A90" s="13" t="s">
        <v>167</v>
      </c>
      <c r="B90" s="14" t="s">
        <v>168</v>
      </c>
      <c r="C90" s="13">
        <v>4</v>
      </c>
      <c r="D90" s="13">
        <v>1</v>
      </c>
      <c r="E90" s="13" t="s">
        <v>30</v>
      </c>
      <c r="F90" s="11">
        <v>0</v>
      </c>
      <c r="G90" s="12">
        <f t="shared" si="3"/>
        <v>0</v>
      </c>
    </row>
    <row r="91" spans="1:7" ht="30" customHeight="1" x14ac:dyDescent="0.3">
      <c r="A91" s="9" t="s">
        <v>169</v>
      </c>
      <c r="B91" s="10" t="s">
        <v>170</v>
      </c>
      <c r="C91" s="9">
        <v>1</v>
      </c>
      <c r="D91" s="9">
        <v>2</v>
      </c>
      <c r="E91" s="9" t="s">
        <v>171</v>
      </c>
      <c r="F91" s="11">
        <v>0</v>
      </c>
      <c r="G91" s="12">
        <f t="shared" si="3"/>
        <v>0</v>
      </c>
    </row>
    <row r="92" spans="1:7" ht="15" customHeight="1" x14ac:dyDescent="0.3">
      <c r="A92" s="3" t="s">
        <v>16</v>
      </c>
      <c r="B92" s="3"/>
      <c r="C92" s="3"/>
      <c r="D92" s="3"/>
      <c r="E92" s="3"/>
      <c r="F92" s="3"/>
      <c r="G92" s="16">
        <f>IF(SUM(G83:G91)&gt;18,18,SUM(G83:G91))</f>
        <v>0</v>
      </c>
    </row>
    <row r="93" spans="1:7" ht="25.5" customHeight="1" x14ac:dyDescent="0.3">
      <c r="A93" s="2" t="s">
        <v>172</v>
      </c>
      <c r="B93" s="2"/>
      <c r="C93" s="2"/>
      <c r="D93" s="2"/>
      <c r="E93" s="2"/>
      <c r="F93" s="2"/>
      <c r="G93" s="7">
        <f>IF(SUM(G9,G15,G18,G25,G29,G33,G49,G61,G66,G80,G92)&gt;40,40,SUM(G9,G15,G18,G25,G29,G33,G49,G61,G66,G80,G92))</f>
        <v>2</v>
      </c>
    </row>
    <row r="95" spans="1:7" ht="18" customHeight="1" x14ac:dyDescent="0.3">
      <c r="A95" s="1" t="s">
        <v>173</v>
      </c>
      <c r="B95" s="1"/>
      <c r="C95" s="1"/>
      <c r="D95" s="1"/>
      <c r="E95" s="1"/>
      <c r="F95" s="1"/>
      <c r="G95" s="1"/>
    </row>
    <row r="97" spans="6:7" x14ac:dyDescent="0.3">
      <c r="F97" t="s">
        <v>190</v>
      </c>
      <c r="G97" s="27">
        <f>SUM(G9,G15,G18,G25,G29,G33,G49,G61,G66,G80,G92)</f>
        <v>2</v>
      </c>
    </row>
  </sheetData>
  <mergeCells count="32">
    <mergeCell ref="A95:G95"/>
    <mergeCell ref="A3:G3"/>
    <mergeCell ref="A34:G34"/>
    <mergeCell ref="A50:G50"/>
    <mergeCell ref="A62:G62"/>
    <mergeCell ref="A67:G67"/>
    <mergeCell ref="A81:G81"/>
    <mergeCell ref="A68:B68"/>
    <mergeCell ref="A80:F80"/>
    <mergeCell ref="A82:B82"/>
    <mergeCell ref="A92:F92"/>
    <mergeCell ref="A93:F93"/>
    <mergeCell ref="A49:F49"/>
    <mergeCell ref="A51:B51"/>
    <mergeCell ref="A61:F61"/>
    <mergeCell ref="A63:B63"/>
    <mergeCell ref="A66:F66"/>
    <mergeCell ref="A26:B26"/>
    <mergeCell ref="A29:F29"/>
    <mergeCell ref="A30:B30"/>
    <mergeCell ref="A33:F33"/>
    <mergeCell ref="A35:B35"/>
    <mergeCell ref="A15:F15"/>
    <mergeCell ref="A16:B16"/>
    <mergeCell ref="A18:F18"/>
    <mergeCell ref="A19:B19"/>
    <mergeCell ref="A25:F25"/>
    <mergeCell ref="A1:G1"/>
    <mergeCell ref="A2:F2"/>
    <mergeCell ref="A5:B5"/>
    <mergeCell ref="A9:F9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zoomScaleNormal="100" workbookViewId="0">
      <pane ySplit="3" topLeftCell="A69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68" customWidth="1"/>
    <col min="3" max="4" width="8" customWidth="1"/>
    <col min="5" max="5" width="22" customWidth="1"/>
    <col min="6" max="6" width="14" customWidth="1"/>
    <col min="7" max="7" width="12" customWidth="1"/>
  </cols>
  <sheetData>
    <row r="1" spans="1:7" ht="30" customHeight="1" x14ac:dyDescent="0.3">
      <c r="A1" s="6" t="s">
        <v>174</v>
      </c>
      <c r="B1" s="6"/>
      <c r="C1" s="6"/>
      <c r="D1" s="6"/>
      <c r="E1" s="6"/>
      <c r="F1" s="6"/>
      <c r="G1" s="6"/>
    </row>
    <row r="2" spans="1:7" ht="21.75" customHeight="1" x14ac:dyDescent="0.3">
      <c r="A2" s="5" t="s">
        <v>1</v>
      </c>
      <c r="B2" s="5"/>
      <c r="C2" s="5"/>
      <c r="D2" s="5"/>
      <c r="E2" s="5"/>
      <c r="F2" s="5"/>
      <c r="G2" s="7">
        <f>SUM(G7,G13,G16,G23,G27,G31,G46,G57,G61,G72)</f>
        <v>1</v>
      </c>
    </row>
    <row r="3" spans="1:7" ht="36" customHeight="1" x14ac:dyDescent="0.3">
      <c r="A3" s="4" t="s">
        <v>2</v>
      </c>
      <c r="B3" s="4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30" customHeight="1" x14ac:dyDescent="0.3">
      <c r="A4" s="9" t="s">
        <v>8</v>
      </c>
      <c r="B4" s="10" t="s">
        <v>9</v>
      </c>
      <c r="C4" s="9">
        <v>1</v>
      </c>
      <c r="D4" s="9">
        <v>20</v>
      </c>
      <c r="E4" s="9" t="s">
        <v>10</v>
      </c>
      <c r="F4" s="11">
        <v>0</v>
      </c>
      <c r="G4" s="12">
        <f>MIN(C4*F4,D4)</f>
        <v>0</v>
      </c>
    </row>
    <row r="5" spans="1:7" ht="30" customHeight="1" x14ac:dyDescent="0.3">
      <c r="A5" s="13" t="s">
        <v>11</v>
      </c>
      <c r="B5" s="14" t="s">
        <v>12</v>
      </c>
      <c r="C5" s="13">
        <v>1</v>
      </c>
      <c r="D5" s="13">
        <v>20</v>
      </c>
      <c r="E5" s="13" t="s">
        <v>10</v>
      </c>
      <c r="F5" s="11">
        <v>0</v>
      </c>
      <c r="G5" s="15">
        <f>MIN(C5*F5,D5)</f>
        <v>0</v>
      </c>
    </row>
    <row r="6" spans="1:7" ht="30" customHeight="1" x14ac:dyDescent="0.3">
      <c r="A6" s="9" t="s">
        <v>13</v>
      </c>
      <c r="B6" s="10" t="s">
        <v>14</v>
      </c>
      <c r="C6" s="9">
        <v>0.05</v>
      </c>
      <c r="D6" s="9">
        <v>200</v>
      </c>
      <c r="E6" s="9" t="s">
        <v>15</v>
      </c>
      <c r="F6" s="11">
        <v>0</v>
      </c>
      <c r="G6" s="12">
        <f>MIN(C6*F6,D6)</f>
        <v>0</v>
      </c>
    </row>
    <row r="7" spans="1:7" ht="15" customHeight="1" x14ac:dyDescent="0.3">
      <c r="A7" s="3" t="s">
        <v>16</v>
      </c>
      <c r="B7" s="3"/>
      <c r="C7" s="3"/>
      <c r="D7" s="3"/>
      <c r="E7" s="3"/>
      <c r="F7" s="3"/>
      <c r="G7" s="16">
        <f>SUM(G4,G5,G6)</f>
        <v>0</v>
      </c>
    </row>
    <row r="8" spans="1:7" ht="21.75" customHeight="1" x14ac:dyDescent="0.3">
      <c r="A8" s="4" t="s">
        <v>175</v>
      </c>
      <c r="B8" s="4"/>
      <c r="C8" s="8" t="s">
        <v>3</v>
      </c>
      <c r="D8" s="8" t="s">
        <v>4</v>
      </c>
      <c r="E8" s="8" t="s">
        <v>5</v>
      </c>
      <c r="F8" s="8" t="s">
        <v>6</v>
      </c>
      <c r="G8" s="8" t="s">
        <v>7</v>
      </c>
    </row>
    <row r="9" spans="1:7" ht="43.5" customHeight="1" x14ac:dyDescent="0.3">
      <c r="A9" s="9" t="s">
        <v>18</v>
      </c>
      <c r="B9" s="10" t="s">
        <v>19</v>
      </c>
      <c r="C9" s="9">
        <v>0.8</v>
      </c>
      <c r="D9" s="9">
        <v>4</v>
      </c>
      <c r="E9" s="9" t="s">
        <v>20</v>
      </c>
      <c r="F9" s="11">
        <v>0</v>
      </c>
      <c r="G9" s="12">
        <f>MIN(C9*F9,D9)</f>
        <v>0</v>
      </c>
    </row>
    <row r="10" spans="1:7" ht="43.5" customHeight="1" x14ac:dyDescent="0.3">
      <c r="A10" s="13" t="s">
        <v>21</v>
      </c>
      <c r="B10" s="14" t="s">
        <v>22</v>
      </c>
      <c r="C10" s="13">
        <v>0.2</v>
      </c>
      <c r="D10" s="13">
        <v>2</v>
      </c>
      <c r="E10" s="13" t="s">
        <v>20</v>
      </c>
      <c r="F10" s="11">
        <v>0</v>
      </c>
      <c r="G10" s="15">
        <f>MIN(C10*F10,D10)</f>
        <v>0</v>
      </c>
    </row>
    <row r="11" spans="1:7" ht="43.5" customHeight="1" x14ac:dyDescent="0.3">
      <c r="A11" s="9" t="s">
        <v>23</v>
      </c>
      <c r="B11" s="10" t="s">
        <v>24</v>
      </c>
      <c r="C11" s="9">
        <v>0.05</v>
      </c>
      <c r="D11" s="9">
        <v>200</v>
      </c>
      <c r="E11" s="9" t="s">
        <v>20</v>
      </c>
      <c r="F11" s="11">
        <v>0</v>
      </c>
      <c r="G11" s="12">
        <f>MIN(C11*F11,D11)</f>
        <v>0</v>
      </c>
    </row>
    <row r="12" spans="1:7" ht="43.5" customHeight="1" x14ac:dyDescent="0.3">
      <c r="A12" s="13" t="s">
        <v>25</v>
      </c>
      <c r="B12" s="14" t="s">
        <v>26</v>
      </c>
      <c r="C12" s="13">
        <v>2.5000000000000001E-2</v>
      </c>
      <c r="D12" s="13">
        <v>200</v>
      </c>
      <c r="E12" s="13" t="s">
        <v>20</v>
      </c>
      <c r="F12" s="11">
        <v>0</v>
      </c>
      <c r="G12" s="15">
        <f>MIN(C12*F12,D12)</f>
        <v>0</v>
      </c>
    </row>
    <row r="13" spans="1:7" ht="15" customHeight="1" x14ac:dyDescent="0.3">
      <c r="A13" s="3" t="s">
        <v>16</v>
      </c>
      <c r="B13" s="3"/>
      <c r="C13" s="3"/>
      <c r="D13" s="3"/>
      <c r="E13" s="3"/>
      <c r="F13" s="3"/>
      <c r="G13" s="16">
        <f>SUM(G9,G10,G11,G12)</f>
        <v>0</v>
      </c>
    </row>
    <row r="14" spans="1:7" ht="21.75" customHeight="1" x14ac:dyDescent="0.3">
      <c r="A14" s="4" t="s">
        <v>27</v>
      </c>
      <c r="B14" s="4"/>
      <c r="C14" s="8" t="s">
        <v>3</v>
      </c>
      <c r="D14" s="8" t="s">
        <v>4</v>
      </c>
      <c r="E14" s="8" t="s">
        <v>5</v>
      </c>
      <c r="F14" s="8" t="s">
        <v>6</v>
      </c>
      <c r="G14" s="8" t="s">
        <v>7</v>
      </c>
    </row>
    <row r="15" spans="1:7" ht="30" customHeight="1" x14ac:dyDescent="0.3">
      <c r="A15" s="9" t="s">
        <v>28</v>
      </c>
      <c r="B15" s="10" t="s">
        <v>29</v>
      </c>
      <c r="C15" s="9">
        <v>1</v>
      </c>
      <c r="D15" s="9">
        <v>1</v>
      </c>
      <c r="E15" s="9" t="s">
        <v>30</v>
      </c>
      <c r="F15" s="17">
        <v>2</v>
      </c>
      <c r="G15" s="12">
        <f>MIN(C15*F15,D15)</f>
        <v>1</v>
      </c>
    </row>
    <row r="16" spans="1:7" ht="15" customHeight="1" x14ac:dyDescent="0.3">
      <c r="A16" s="3" t="s">
        <v>16</v>
      </c>
      <c r="B16" s="3"/>
      <c r="C16" s="3"/>
      <c r="D16" s="3"/>
      <c r="E16" s="3"/>
      <c r="F16" s="3"/>
      <c r="G16" s="16">
        <f>SUM(G15)</f>
        <v>1</v>
      </c>
    </row>
    <row r="17" spans="1:7" ht="21.75" customHeight="1" x14ac:dyDescent="0.3">
      <c r="A17" s="4" t="s">
        <v>176</v>
      </c>
      <c r="B17" s="4"/>
      <c r="C17" s="8" t="s">
        <v>3</v>
      </c>
      <c r="D17" s="8" t="s">
        <v>4</v>
      </c>
      <c r="E17" s="8" t="s">
        <v>5</v>
      </c>
      <c r="F17" s="8" t="s">
        <v>6</v>
      </c>
      <c r="G17" s="8" t="s">
        <v>7</v>
      </c>
    </row>
    <row r="18" spans="1:7" ht="30" customHeight="1" x14ac:dyDescent="0.3">
      <c r="A18" s="9" t="s">
        <v>32</v>
      </c>
      <c r="B18" s="10" t="s">
        <v>33</v>
      </c>
      <c r="C18" s="9">
        <v>1</v>
      </c>
      <c r="D18" s="9">
        <v>6</v>
      </c>
      <c r="E18" s="9" t="s">
        <v>34</v>
      </c>
      <c r="F18" s="11">
        <v>0</v>
      </c>
      <c r="G18" s="12">
        <f>MIN(C18*F18,D18)</f>
        <v>0</v>
      </c>
    </row>
    <row r="19" spans="1:7" ht="30" customHeight="1" x14ac:dyDescent="0.3">
      <c r="A19" s="13" t="s">
        <v>35</v>
      </c>
      <c r="B19" s="14" t="s">
        <v>36</v>
      </c>
      <c r="C19" s="13">
        <v>1</v>
      </c>
      <c r="D19" s="13">
        <v>4</v>
      </c>
      <c r="E19" s="13" t="s">
        <v>34</v>
      </c>
      <c r="F19" s="11">
        <v>0</v>
      </c>
      <c r="G19" s="15">
        <f>MIN(C19*F19,D19)</f>
        <v>0</v>
      </c>
    </row>
    <row r="20" spans="1:7" ht="30" customHeight="1" x14ac:dyDescent="0.3">
      <c r="A20" s="9" t="s">
        <v>37</v>
      </c>
      <c r="B20" s="10" t="s">
        <v>38</v>
      </c>
      <c r="C20" s="9">
        <v>2</v>
      </c>
      <c r="D20" s="9">
        <v>4</v>
      </c>
      <c r="E20" s="9" t="s">
        <v>39</v>
      </c>
      <c r="F20" s="11">
        <v>0</v>
      </c>
      <c r="G20" s="12">
        <f>MIN(C20*F20,D20)</f>
        <v>0</v>
      </c>
    </row>
    <row r="21" spans="1:7" ht="30" customHeight="1" x14ac:dyDescent="0.3">
      <c r="A21" s="13" t="s">
        <v>40</v>
      </c>
      <c r="B21" s="14" t="s">
        <v>41</v>
      </c>
      <c r="C21" s="13">
        <v>2</v>
      </c>
      <c r="D21" s="13">
        <v>1</v>
      </c>
      <c r="E21" s="13" t="s">
        <v>34</v>
      </c>
      <c r="F21" s="11">
        <v>0</v>
      </c>
      <c r="G21" s="15">
        <f>MIN(C21*F21,D21)</f>
        <v>0</v>
      </c>
    </row>
    <row r="22" spans="1:7" ht="30" customHeight="1" x14ac:dyDescent="0.3">
      <c r="A22" s="9" t="s">
        <v>42</v>
      </c>
      <c r="B22" s="10" t="s">
        <v>43</v>
      </c>
      <c r="C22" s="9">
        <v>10</v>
      </c>
      <c r="D22" s="9">
        <v>1</v>
      </c>
      <c r="E22" s="9" t="s">
        <v>44</v>
      </c>
      <c r="F22" s="11">
        <v>0</v>
      </c>
      <c r="G22" s="12">
        <f>MIN(C22*F22,D22)</f>
        <v>0</v>
      </c>
    </row>
    <row r="23" spans="1:7" ht="15" customHeight="1" x14ac:dyDescent="0.3">
      <c r="A23" s="3" t="s">
        <v>16</v>
      </c>
      <c r="B23" s="3"/>
      <c r="C23" s="3"/>
      <c r="D23" s="3"/>
      <c r="E23" s="3"/>
      <c r="F23" s="3"/>
      <c r="G23" s="16">
        <f>SUM(G18,G19,G20,G21,G22)</f>
        <v>0</v>
      </c>
    </row>
    <row r="24" spans="1:7" ht="21.75" customHeight="1" x14ac:dyDescent="0.3">
      <c r="A24" s="4" t="s">
        <v>177</v>
      </c>
      <c r="B24" s="4"/>
      <c r="C24" s="8" t="s">
        <v>3</v>
      </c>
      <c r="D24" s="8" t="s">
        <v>4</v>
      </c>
      <c r="E24" s="8" t="s">
        <v>5</v>
      </c>
      <c r="F24" s="8" t="s">
        <v>6</v>
      </c>
      <c r="G24" s="8" t="s">
        <v>7</v>
      </c>
    </row>
    <row r="25" spans="1:7" ht="30" customHeight="1" x14ac:dyDescent="0.3">
      <c r="A25" s="9" t="s">
        <v>46</v>
      </c>
      <c r="B25" s="10" t="s">
        <v>47</v>
      </c>
      <c r="C25" s="9">
        <v>8</v>
      </c>
      <c r="D25" s="9">
        <v>1</v>
      </c>
      <c r="E25" s="9" t="s">
        <v>48</v>
      </c>
      <c r="F25" s="11">
        <v>0</v>
      </c>
      <c r="G25" s="12">
        <f>MIN(C25*F25,D25)</f>
        <v>0</v>
      </c>
    </row>
    <row r="26" spans="1:7" ht="30" customHeight="1" x14ac:dyDescent="0.3">
      <c r="A26" s="13" t="s">
        <v>49</v>
      </c>
      <c r="B26" s="14" t="s">
        <v>50</v>
      </c>
      <c r="C26" s="13">
        <v>1</v>
      </c>
      <c r="D26" s="13">
        <v>2</v>
      </c>
      <c r="E26" s="13" t="s">
        <v>51</v>
      </c>
      <c r="F26" s="11">
        <v>0</v>
      </c>
      <c r="G26" s="15">
        <f>MIN(C26*F26,D26)</f>
        <v>0</v>
      </c>
    </row>
    <row r="27" spans="1:7" ht="15" customHeight="1" x14ac:dyDescent="0.3">
      <c r="A27" s="3" t="s">
        <v>16</v>
      </c>
      <c r="B27" s="3"/>
      <c r="C27" s="3"/>
      <c r="D27" s="3"/>
      <c r="E27" s="3"/>
      <c r="F27" s="3"/>
      <c r="G27" s="16">
        <f>SUM(G25,G26)</f>
        <v>0</v>
      </c>
    </row>
    <row r="28" spans="1:7" ht="21.75" customHeight="1" x14ac:dyDescent="0.3">
      <c r="A28" s="4" t="s">
        <v>178</v>
      </c>
      <c r="B28" s="4"/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</row>
    <row r="29" spans="1:7" ht="30" customHeight="1" x14ac:dyDescent="0.3">
      <c r="A29" s="9" t="s">
        <v>52</v>
      </c>
      <c r="B29" s="10" t="s">
        <v>53</v>
      </c>
      <c r="C29" s="9">
        <v>2</v>
      </c>
      <c r="D29" s="9">
        <v>2</v>
      </c>
      <c r="E29" s="9" t="s">
        <v>54</v>
      </c>
      <c r="F29" s="11">
        <v>0</v>
      </c>
      <c r="G29" s="12">
        <f>MIN(C29*F29,D29)</f>
        <v>0</v>
      </c>
    </row>
    <row r="30" spans="1:7" ht="30" customHeight="1" x14ac:dyDescent="0.3">
      <c r="A30" s="13" t="s">
        <v>55</v>
      </c>
      <c r="B30" s="14" t="s">
        <v>56</v>
      </c>
      <c r="C30" s="13">
        <v>8</v>
      </c>
      <c r="D30" s="13">
        <v>1</v>
      </c>
      <c r="E30" s="13" t="s">
        <v>57</v>
      </c>
      <c r="F30" s="11">
        <v>0</v>
      </c>
      <c r="G30" s="15">
        <f>MIN(C30*F30,D30)</f>
        <v>0</v>
      </c>
    </row>
    <row r="31" spans="1:7" ht="15" customHeight="1" x14ac:dyDescent="0.3">
      <c r="A31" s="3" t="s">
        <v>16</v>
      </c>
      <c r="B31" s="3"/>
      <c r="C31" s="3"/>
      <c r="D31" s="3"/>
      <c r="E31" s="3"/>
      <c r="F31" s="3"/>
      <c r="G31" s="16">
        <f>SUM(G29,G30)</f>
        <v>0</v>
      </c>
    </row>
    <row r="32" spans="1:7" ht="21.75" customHeight="1" x14ac:dyDescent="0.3">
      <c r="A32" s="4" t="s">
        <v>179</v>
      </c>
      <c r="B32" s="4"/>
      <c r="C32" s="8" t="s">
        <v>3</v>
      </c>
      <c r="D32" s="8" t="s">
        <v>4</v>
      </c>
      <c r="E32" s="8" t="s">
        <v>5</v>
      </c>
      <c r="F32" s="8" t="s">
        <v>6</v>
      </c>
      <c r="G32" s="8" t="s">
        <v>7</v>
      </c>
    </row>
    <row r="33" spans="1:7" ht="30" customHeight="1" x14ac:dyDescent="0.3">
      <c r="A33" s="9" t="s">
        <v>59</v>
      </c>
      <c r="B33" s="10" t="s">
        <v>60</v>
      </c>
      <c r="C33" s="9">
        <v>4</v>
      </c>
      <c r="D33" s="9">
        <v>3</v>
      </c>
      <c r="E33" s="9" t="s">
        <v>51</v>
      </c>
      <c r="F33" s="11">
        <v>0</v>
      </c>
      <c r="G33" s="12">
        <f t="shared" ref="G33:G45" si="0">MIN(C33*F33,D33)</f>
        <v>0</v>
      </c>
    </row>
    <row r="34" spans="1:7" ht="30" customHeight="1" x14ac:dyDescent="0.3">
      <c r="A34" s="13" t="s">
        <v>61</v>
      </c>
      <c r="B34" s="14" t="s">
        <v>62</v>
      </c>
      <c r="C34" s="13">
        <v>6</v>
      </c>
      <c r="D34" s="13">
        <v>2</v>
      </c>
      <c r="E34" s="13" t="s">
        <v>51</v>
      </c>
      <c r="F34" s="11">
        <v>0</v>
      </c>
      <c r="G34" s="15">
        <f t="shared" si="0"/>
        <v>0</v>
      </c>
    </row>
    <row r="35" spans="1:7" ht="30" customHeight="1" x14ac:dyDescent="0.3">
      <c r="A35" s="9" t="s">
        <v>63</v>
      </c>
      <c r="B35" s="10" t="s">
        <v>64</v>
      </c>
      <c r="C35" s="9">
        <v>3</v>
      </c>
      <c r="D35" s="9">
        <v>2</v>
      </c>
      <c r="E35" s="9" t="s">
        <v>51</v>
      </c>
      <c r="F35" s="11">
        <v>0</v>
      </c>
      <c r="G35" s="12">
        <f t="shared" si="0"/>
        <v>0</v>
      </c>
    </row>
    <row r="36" spans="1:7" ht="30" customHeight="1" x14ac:dyDescent="0.3">
      <c r="A36" s="13" t="s">
        <v>65</v>
      </c>
      <c r="B36" s="14" t="s">
        <v>66</v>
      </c>
      <c r="C36" s="13">
        <v>2</v>
      </c>
      <c r="D36" s="13">
        <v>4</v>
      </c>
      <c r="E36" s="13" t="s">
        <v>34</v>
      </c>
      <c r="F36" s="11">
        <v>0</v>
      </c>
      <c r="G36" s="15">
        <f t="shared" si="0"/>
        <v>0</v>
      </c>
    </row>
    <row r="37" spans="1:7" ht="30" customHeight="1" x14ac:dyDescent="0.3">
      <c r="A37" s="9" t="s">
        <v>67</v>
      </c>
      <c r="B37" s="10" t="s">
        <v>68</v>
      </c>
      <c r="C37" s="9">
        <v>16</v>
      </c>
      <c r="D37" s="9">
        <v>1</v>
      </c>
      <c r="E37" s="9" t="s">
        <v>69</v>
      </c>
      <c r="F37" s="11">
        <v>0</v>
      </c>
      <c r="G37" s="12">
        <f t="shared" si="0"/>
        <v>0</v>
      </c>
    </row>
    <row r="38" spans="1:7" ht="30" customHeight="1" x14ac:dyDescent="0.3">
      <c r="A38" s="13" t="s">
        <v>70</v>
      </c>
      <c r="B38" s="14" t="s">
        <v>71</v>
      </c>
      <c r="C38" s="13">
        <v>8</v>
      </c>
      <c r="D38" s="13">
        <v>1</v>
      </c>
      <c r="E38" s="13" t="s">
        <v>72</v>
      </c>
      <c r="F38" s="11">
        <v>0</v>
      </c>
      <c r="G38" s="15">
        <f t="shared" si="0"/>
        <v>0</v>
      </c>
    </row>
    <row r="39" spans="1:7" ht="30" customHeight="1" x14ac:dyDescent="0.3">
      <c r="A39" s="9" t="s">
        <v>73</v>
      </c>
      <c r="B39" s="10" t="s">
        <v>74</v>
      </c>
      <c r="C39" s="9">
        <v>16</v>
      </c>
      <c r="D39" s="9">
        <v>1</v>
      </c>
      <c r="E39" s="9" t="s">
        <v>72</v>
      </c>
      <c r="F39" s="11">
        <v>0</v>
      </c>
      <c r="G39" s="12">
        <f t="shared" si="0"/>
        <v>0</v>
      </c>
    </row>
    <row r="40" spans="1:7" ht="30" customHeight="1" x14ac:dyDescent="0.3">
      <c r="A40" s="13" t="s">
        <v>75</v>
      </c>
      <c r="B40" s="14" t="s">
        <v>76</v>
      </c>
      <c r="C40" s="13">
        <v>6</v>
      </c>
      <c r="D40" s="13">
        <v>2</v>
      </c>
      <c r="E40" s="13" t="s">
        <v>51</v>
      </c>
      <c r="F40" s="11">
        <v>0</v>
      </c>
      <c r="G40" s="15">
        <f t="shared" si="0"/>
        <v>0</v>
      </c>
    </row>
    <row r="41" spans="1:7" ht="30" customHeight="1" x14ac:dyDescent="0.3">
      <c r="A41" s="9" t="s">
        <v>77</v>
      </c>
      <c r="B41" s="10" t="s">
        <v>78</v>
      </c>
      <c r="C41" s="9">
        <v>2</v>
      </c>
      <c r="D41" s="9">
        <v>1</v>
      </c>
      <c r="E41" s="9" t="s">
        <v>79</v>
      </c>
      <c r="F41" s="11">
        <v>0</v>
      </c>
      <c r="G41" s="12">
        <f t="shared" si="0"/>
        <v>0</v>
      </c>
    </row>
    <row r="42" spans="1:7" ht="30" customHeight="1" x14ac:dyDescent="0.3">
      <c r="A42" s="13" t="s">
        <v>80</v>
      </c>
      <c r="B42" s="14" t="s">
        <v>81</v>
      </c>
      <c r="C42" s="13">
        <v>4</v>
      </c>
      <c r="D42" s="13">
        <v>1</v>
      </c>
      <c r="E42" s="13" t="s">
        <v>82</v>
      </c>
      <c r="F42" s="11">
        <v>0</v>
      </c>
      <c r="G42" s="15">
        <f t="shared" si="0"/>
        <v>0</v>
      </c>
    </row>
    <row r="43" spans="1:7" ht="30" customHeight="1" x14ac:dyDescent="0.3">
      <c r="A43" s="9" t="s">
        <v>83</v>
      </c>
      <c r="B43" s="10" t="s">
        <v>84</v>
      </c>
      <c r="C43" s="9">
        <v>2</v>
      </c>
      <c r="D43" s="9">
        <v>1</v>
      </c>
      <c r="E43" s="9" t="s">
        <v>85</v>
      </c>
      <c r="F43" s="11">
        <v>0</v>
      </c>
      <c r="G43" s="12">
        <f t="shared" si="0"/>
        <v>0</v>
      </c>
    </row>
    <row r="44" spans="1:7" ht="30" customHeight="1" x14ac:dyDescent="0.3">
      <c r="A44" s="13" t="s">
        <v>86</v>
      </c>
      <c r="B44" s="14" t="s">
        <v>87</v>
      </c>
      <c r="C44" s="13">
        <v>4</v>
      </c>
      <c r="D44" s="13">
        <v>1</v>
      </c>
      <c r="E44" s="13" t="s">
        <v>88</v>
      </c>
      <c r="F44" s="11">
        <v>0</v>
      </c>
      <c r="G44" s="15">
        <f t="shared" si="0"/>
        <v>0</v>
      </c>
    </row>
    <row r="45" spans="1:7" ht="30" customHeight="1" x14ac:dyDescent="0.3">
      <c r="A45" s="9" t="s">
        <v>89</v>
      </c>
      <c r="B45" s="10" t="s">
        <v>90</v>
      </c>
      <c r="C45" s="9">
        <v>2</v>
      </c>
      <c r="D45" s="9">
        <v>1</v>
      </c>
      <c r="E45" s="9" t="s">
        <v>69</v>
      </c>
      <c r="F45" s="11">
        <v>0</v>
      </c>
      <c r="G45" s="12">
        <f t="shared" si="0"/>
        <v>0</v>
      </c>
    </row>
    <row r="46" spans="1:7" ht="15" customHeight="1" x14ac:dyDescent="0.3">
      <c r="A46" s="3" t="s">
        <v>16</v>
      </c>
      <c r="B46" s="3"/>
      <c r="C46" s="3"/>
      <c r="D46" s="3"/>
      <c r="E46" s="3"/>
      <c r="F46" s="3"/>
      <c r="G46" s="16">
        <f>SUM(G33,G34,G35,G36,G37,G38,G39,G40,G41,G42,G43,G44,G45)</f>
        <v>0</v>
      </c>
    </row>
    <row r="47" spans="1:7" ht="21.75" customHeight="1" x14ac:dyDescent="0.3">
      <c r="A47" s="4" t="s">
        <v>180</v>
      </c>
      <c r="B47" s="4"/>
      <c r="C47" s="8" t="s">
        <v>3</v>
      </c>
      <c r="D47" s="8" t="s">
        <v>4</v>
      </c>
      <c r="E47" s="8" t="s">
        <v>5</v>
      </c>
      <c r="F47" s="8" t="s">
        <v>6</v>
      </c>
      <c r="G47" s="8" t="s">
        <v>7</v>
      </c>
    </row>
    <row r="48" spans="1:7" ht="30" customHeight="1" x14ac:dyDescent="0.3">
      <c r="A48" s="9" t="s">
        <v>92</v>
      </c>
      <c r="B48" s="10" t="s">
        <v>93</v>
      </c>
      <c r="C48" s="9">
        <v>4</v>
      </c>
      <c r="D48" s="9">
        <v>3</v>
      </c>
      <c r="E48" s="9" t="s">
        <v>51</v>
      </c>
      <c r="F48" s="11">
        <v>0</v>
      </c>
      <c r="G48" s="12">
        <f t="shared" ref="G48:G56" si="1">MIN(C48*F48,D48)</f>
        <v>0</v>
      </c>
    </row>
    <row r="49" spans="1:7" ht="30" customHeight="1" x14ac:dyDescent="0.3">
      <c r="A49" s="13" t="s">
        <v>94</v>
      </c>
      <c r="B49" s="14" t="s">
        <v>95</v>
      </c>
      <c r="C49" s="13">
        <v>6</v>
      </c>
      <c r="D49" s="13">
        <v>2</v>
      </c>
      <c r="E49" s="13" t="s">
        <v>51</v>
      </c>
      <c r="F49" s="11">
        <v>0</v>
      </c>
      <c r="G49" s="15">
        <f t="shared" si="1"/>
        <v>0</v>
      </c>
    </row>
    <row r="50" spans="1:7" ht="30" customHeight="1" x14ac:dyDescent="0.3">
      <c r="A50" s="9" t="s">
        <v>96</v>
      </c>
      <c r="B50" s="10" t="s">
        <v>97</v>
      </c>
      <c r="C50" s="9">
        <v>3</v>
      </c>
      <c r="D50" s="9">
        <v>2</v>
      </c>
      <c r="E50" s="9" t="s">
        <v>51</v>
      </c>
      <c r="F50" s="11">
        <v>0</v>
      </c>
      <c r="G50" s="12">
        <f t="shared" si="1"/>
        <v>0</v>
      </c>
    </row>
    <row r="51" spans="1:7" ht="30" customHeight="1" x14ac:dyDescent="0.3">
      <c r="A51" s="13" t="s">
        <v>98</v>
      </c>
      <c r="B51" s="14" t="s">
        <v>99</v>
      </c>
      <c r="C51" s="13">
        <v>16</v>
      </c>
      <c r="D51" s="13">
        <v>1</v>
      </c>
      <c r="E51" s="13" t="s">
        <v>100</v>
      </c>
      <c r="F51" s="11">
        <v>0</v>
      </c>
      <c r="G51" s="15">
        <f t="shared" si="1"/>
        <v>0</v>
      </c>
    </row>
    <row r="52" spans="1:7" ht="30" customHeight="1" x14ac:dyDescent="0.3">
      <c r="A52" s="9" t="s">
        <v>101</v>
      </c>
      <c r="B52" s="10" t="s">
        <v>102</v>
      </c>
      <c r="C52" s="9">
        <v>5</v>
      </c>
      <c r="D52" s="9">
        <v>1</v>
      </c>
      <c r="E52" s="9" t="s">
        <v>100</v>
      </c>
      <c r="F52" s="11">
        <v>0</v>
      </c>
      <c r="G52" s="12">
        <f t="shared" si="1"/>
        <v>0</v>
      </c>
    </row>
    <row r="53" spans="1:7" ht="30" customHeight="1" x14ac:dyDescent="0.3">
      <c r="A53" s="13" t="s">
        <v>103</v>
      </c>
      <c r="B53" s="14" t="s">
        <v>104</v>
      </c>
      <c r="C53" s="13">
        <v>3</v>
      </c>
      <c r="D53" s="13">
        <v>1</v>
      </c>
      <c r="E53" s="13" t="s">
        <v>105</v>
      </c>
      <c r="F53" s="11">
        <v>0</v>
      </c>
      <c r="G53" s="15">
        <f t="shared" si="1"/>
        <v>0</v>
      </c>
    </row>
    <row r="54" spans="1:7" ht="30" customHeight="1" x14ac:dyDescent="0.3">
      <c r="A54" s="9" t="s">
        <v>106</v>
      </c>
      <c r="B54" s="10" t="s">
        <v>107</v>
      </c>
      <c r="C54" s="9">
        <v>0.05</v>
      </c>
      <c r="D54" s="9">
        <v>200</v>
      </c>
      <c r="E54" s="9" t="s">
        <v>108</v>
      </c>
      <c r="F54" s="11">
        <v>0</v>
      </c>
      <c r="G54" s="12">
        <f t="shared" si="1"/>
        <v>0</v>
      </c>
    </row>
    <row r="55" spans="1:7" ht="30" customHeight="1" x14ac:dyDescent="0.3">
      <c r="A55" s="13" t="s">
        <v>109</v>
      </c>
      <c r="B55" s="14" t="s">
        <v>110</v>
      </c>
      <c r="C55" s="13">
        <v>0.05</v>
      </c>
      <c r="D55" s="13">
        <v>100</v>
      </c>
      <c r="E55" s="13" t="s">
        <v>20</v>
      </c>
      <c r="F55" s="11">
        <v>0</v>
      </c>
      <c r="G55" s="15">
        <f t="shared" si="1"/>
        <v>0</v>
      </c>
    </row>
    <row r="56" spans="1:7" ht="30" customHeight="1" x14ac:dyDescent="0.3">
      <c r="A56" s="9" t="s">
        <v>111</v>
      </c>
      <c r="B56" s="10" t="s">
        <v>112</v>
      </c>
      <c r="C56" s="9">
        <v>1</v>
      </c>
      <c r="D56" s="9">
        <v>2</v>
      </c>
      <c r="E56" s="9" t="s">
        <v>113</v>
      </c>
      <c r="F56" s="11">
        <v>0</v>
      </c>
      <c r="G56" s="12">
        <f t="shared" si="1"/>
        <v>0</v>
      </c>
    </row>
    <row r="57" spans="1:7" ht="15" customHeight="1" x14ac:dyDescent="0.3">
      <c r="A57" s="3" t="s">
        <v>16</v>
      </c>
      <c r="B57" s="3"/>
      <c r="C57" s="3"/>
      <c r="D57" s="3"/>
      <c r="E57" s="3"/>
      <c r="F57" s="3"/>
      <c r="G57" s="16">
        <f>SUM(G48,G49,G50,G51,G52,G53,G54,G55,G56)</f>
        <v>0</v>
      </c>
    </row>
    <row r="58" spans="1:7" ht="21.75" customHeight="1" x14ac:dyDescent="0.3">
      <c r="A58" s="4" t="s">
        <v>181</v>
      </c>
      <c r="B58" s="4"/>
      <c r="C58" s="8" t="s">
        <v>3</v>
      </c>
      <c r="D58" s="8" t="s">
        <v>4</v>
      </c>
      <c r="E58" s="8" t="s">
        <v>5</v>
      </c>
      <c r="F58" s="8" t="s">
        <v>6</v>
      </c>
      <c r="G58" s="8" t="s">
        <v>7</v>
      </c>
    </row>
    <row r="59" spans="1:7" ht="30" customHeight="1" x14ac:dyDescent="0.3">
      <c r="A59" s="9" t="s">
        <v>115</v>
      </c>
      <c r="B59" s="10" t="s">
        <v>116</v>
      </c>
      <c r="C59" s="9">
        <v>2</v>
      </c>
      <c r="D59" s="9">
        <v>2</v>
      </c>
      <c r="E59" s="9" t="s">
        <v>54</v>
      </c>
      <c r="F59" s="11">
        <v>0</v>
      </c>
      <c r="G59" s="12">
        <f>MIN(C59*F59,D59)</f>
        <v>0</v>
      </c>
    </row>
    <row r="60" spans="1:7" ht="30" customHeight="1" x14ac:dyDescent="0.3">
      <c r="A60" s="13" t="s">
        <v>117</v>
      </c>
      <c r="B60" s="14" t="s">
        <v>118</v>
      </c>
      <c r="C60" s="13">
        <v>8</v>
      </c>
      <c r="D60" s="13">
        <v>1</v>
      </c>
      <c r="E60" s="13" t="s">
        <v>57</v>
      </c>
      <c r="F60" s="11">
        <v>0</v>
      </c>
      <c r="G60" s="15">
        <f>MIN(C60*F60,D60)</f>
        <v>0</v>
      </c>
    </row>
    <row r="61" spans="1:7" ht="15" customHeight="1" x14ac:dyDescent="0.3">
      <c r="A61" s="3" t="s">
        <v>16</v>
      </c>
      <c r="B61" s="3"/>
      <c r="C61" s="3"/>
      <c r="D61" s="3"/>
      <c r="E61" s="3"/>
      <c r="F61" s="3"/>
      <c r="G61" s="16">
        <f>SUM(G59,G60)</f>
        <v>0</v>
      </c>
    </row>
    <row r="62" spans="1:7" ht="21.75" customHeight="1" x14ac:dyDescent="0.3">
      <c r="A62" s="4" t="s">
        <v>182</v>
      </c>
      <c r="B62" s="4"/>
      <c r="C62" s="8" t="s">
        <v>3</v>
      </c>
      <c r="D62" s="8" t="s">
        <v>4</v>
      </c>
      <c r="E62" s="8" t="s">
        <v>5</v>
      </c>
      <c r="F62" s="8" t="s">
        <v>6</v>
      </c>
      <c r="G62" s="8" t="s">
        <v>7</v>
      </c>
    </row>
    <row r="63" spans="1:7" ht="30" customHeight="1" x14ac:dyDescent="0.3">
      <c r="A63" s="9" t="s">
        <v>120</v>
      </c>
      <c r="B63" s="10" t="s">
        <v>153</v>
      </c>
      <c r="C63" s="9">
        <v>3</v>
      </c>
      <c r="D63" s="9">
        <v>1</v>
      </c>
      <c r="E63" s="9" t="s">
        <v>30</v>
      </c>
      <c r="F63" s="11">
        <v>0</v>
      </c>
      <c r="G63" s="12">
        <f t="shared" ref="G63:G71" si="2">MIN(C63*F63,D63)</f>
        <v>0</v>
      </c>
    </row>
    <row r="64" spans="1:7" ht="30" customHeight="1" x14ac:dyDescent="0.3">
      <c r="A64" s="13" t="s">
        <v>123</v>
      </c>
      <c r="B64" s="14" t="s">
        <v>155</v>
      </c>
      <c r="C64" s="13">
        <v>8</v>
      </c>
      <c r="D64" s="13">
        <v>1</v>
      </c>
      <c r="E64" s="13" t="s">
        <v>30</v>
      </c>
      <c r="F64" s="11">
        <v>0</v>
      </c>
      <c r="G64" s="15">
        <f t="shared" si="2"/>
        <v>0</v>
      </c>
    </row>
    <row r="65" spans="1:7" ht="30" customHeight="1" x14ac:dyDescent="0.3">
      <c r="A65" s="9" t="s">
        <v>126</v>
      </c>
      <c r="B65" s="10" t="s">
        <v>157</v>
      </c>
      <c r="C65" s="9">
        <v>4</v>
      </c>
      <c r="D65" s="9">
        <v>1</v>
      </c>
      <c r="E65" s="9" t="s">
        <v>30</v>
      </c>
      <c r="F65" s="11">
        <v>0</v>
      </c>
      <c r="G65" s="12">
        <f t="shared" si="2"/>
        <v>0</v>
      </c>
    </row>
    <row r="66" spans="1:7" ht="30" customHeight="1" x14ac:dyDescent="0.3">
      <c r="A66" s="13" t="s">
        <v>129</v>
      </c>
      <c r="B66" s="14" t="s">
        <v>159</v>
      </c>
      <c r="C66" s="13">
        <v>1</v>
      </c>
      <c r="D66" s="13">
        <v>1</v>
      </c>
      <c r="E66" s="13" t="s">
        <v>30</v>
      </c>
      <c r="F66" s="11">
        <v>0</v>
      </c>
      <c r="G66" s="15">
        <f t="shared" si="2"/>
        <v>0</v>
      </c>
    </row>
    <row r="67" spans="1:7" ht="30" customHeight="1" x14ac:dyDescent="0.3">
      <c r="A67" s="9" t="s">
        <v>132</v>
      </c>
      <c r="B67" s="10" t="s">
        <v>161</v>
      </c>
      <c r="C67" s="9">
        <v>1</v>
      </c>
      <c r="D67" s="9">
        <v>2</v>
      </c>
      <c r="E67" s="9" t="s">
        <v>122</v>
      </c>
      <c r="F67" s="11">
        <v>0</v>
      </c>
      <c r="G67" s="12">
        <f t="shared" si="2"/>
        <v>0</v>
      </c>
    </row>
    <row r="68" spans="1:7" ht="30" customHeight="1" x14ac:dyDescent="0.3">
      <c r="A68" s="13" t="s">
        <v>135</v>
      </c>
      <c r="B68" s="14" t="s">
        <v>163</v>
      </c>
      <c r="C68" s="13">
        <v>1</v>
      </c>
      <c r="D68" s="13">
        <v>2</v>
      </c>
      <c r="E68" s="13" t="s">
        <v>122</v>
      </c>
      <c r="F68" s="11">
        <v>0</v>
      </c>
      <c r="G68" s="15">
        <f t="shared" si="2"/>
        <v>0</v>
      </c>
    </row>
    <row r="69" spans="1:7" ht="30" customHeight="1" x14ac:dyDescent="0.3">
      <c r="A69" s="9" t="s">
        <v>138</v>
      </c>
      <c r="B69" s="10" t="s">
        <v>165</v>
      </c>
      <c r="C69" s="9">
        <v>4</v>
      </c>
      <c r="D69" s="9">
        <v>1</v>
      </c>
      <c r="E69" s="9" t="s">
        <v>166</v>
      </c>
      <c r="F69" s="11">
        <v>0</v>
      </c>
      <c r="G69" s="12">
        <f t="shared" si="2"/>
        <v>0</v>
      </c>
    </row>
    <row r="70" spans="1:7" ht="30" customHeight="1" x14ac:dyDescent="0.3">
      <c r="A70" s="13" t="s">
        <v>141</v>
      </c>
      <c r="B70" s="14" t="s">
        <v>168</v>
      </c>
      <c r="C70" s="13">
        <v>4</v>
      </c>
      <c r="D70" s="13">
        <v>1</v>
      </c>
      <c r="E70" s="13" t="s">
        <v>30</v>
      </c>
      <c r="F70" s="11">
        <v>0</v>
      </c>
      <c r="G70" s="15">
        <f t="shared" si="2"/>
        <v>0</v>
      </c>
    </row>
    <row r="71" spans="1:7" ht="30" customHeight="1" x14ac:dyDescent="0.3">
      <c r="A71" s="9" t="s">
        <v>144</v>
      </c>
      <c r="B71" s="10" t="s">
        <v>170</v>
      </c>
      <c r="C71" s="9">
        <v>1</v>
      </c>
      <c r="D71" s="9">
        <v>2</v>
      </c>
      <c r="E71" s="9" t="s">
        <v>171</v>
      </c>
      <c r="F71" s="11">
        <v>0</v>
      </c>
      <c r="G71" s="12">
        <f t="shared" si="2"/>
        <v>0</v>
      </c>
    </row>
    <row r="72" spans="1:7" ht="15" customHeight="1" x14ac:dyDescent="0.3">
      <c r="A72" s="3" t="s">
        <v>16</v>
      </c>
      <c r="B72" s="3"/>
      <c r="C72" s="3"/>
      <c r="D72" s="3"/>
      <c r="E72" s="3"/>
      <c r="F72" s="3"/>
      <c r="G72" s="16">
        <f>SUM(G63,G64,G65,G66,G67,G68,G69,G70,G71)</f>
        <v>0</v>
      </c>
    </row>
    <row r="73" spans="1:7" ht="25.5" customHeight="1" x14ac:dyDescent="0.3">
      <c r="A73" s="2" t="s">
        <v>172</v>
      </c>
      <c r="B73" s="2"/>
      <c r="C73" s="2"/>
      <c r="D73" s="2"/>
      <c r="E73" s="2"/>
      <c r="F73" s="2"/>
      <c r="G73" s="7">
        <f>SUM(G7,G13,G16,G23,G27,G31,G46,G57,G61,G72)</f>
        <v>1</v>
      </c>
    </row>
    <row r="75" spans="1:7" ht="18" customHeight="1" x14ac:dyDescent="0.3">
      <c r="A75" s="1" t="s">
        <v>173</v>
      </c>
      <c r="B75" s="1"/>
      <c r="C75" s="1"/>
      <c r="D75" s="1"/>
      <c r="E75" s="1"/>
      <c r="F75" s="1"/>
      <c r="G75" s="1"/>
    </row>
  </sheetData>
  <mergeCells count="24">
    <mergeCell ref="A62:B62"/>
    <mergeCell ref="A72:F72"/>
    <mergeCell ref="A73:F73"/>
    <mergeCell ref="A75:G75"/>
    <mergeCell ref="A46:F46"/>
    <mergeCell ref="A47:B47"/>
    <mergeCell ref="A57:F57"/>
    <mergeCell ref="A58:B58"/>
    <mergeCell ref="A61:F61"/>
    <mergeCell ref="A24:B24"/>
    <mergeCell ref="A27:F27"/>
    <mergeCell ref="A28:B28"/>
    <mergeCell ref="A31:F31"/>
    <mergeCell ref="A32:B32"/>
    <mergeCell ref="A13:F13"/>
    <mergeCell ref="A14:B14"/>
    <mergeCell ref="A16:F16"/>
    <mergeCell ref="A17:B17"/>
    <mergeCell ref="A23:F23"/>
    <mergeCell ref="A1:G1"/>
    <mergeCell ref="A2:F2"/>
    <mergeCell ref="A3:B3"/>
    <mergeCell ref="A7:F7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Anexo I - 40h e 40h DE</vt:lpstr>
      <vt:lpstr>Anexo II - 20h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Jamile Martins</cp:lastModifiedBy>
  <cp:revision>0</cp:revision>
  <dcterms:created xsi:type="dcterms:W3CDTF">2026-05-05T18:35:46Z</dcterms:created>
  <dcterms:modified xsi:type="dcterms:W3CDTF">2026-05-05T20:18:48Z</dcterms:modified>
  <dc:language>en-US</dc:language>
</cp:coreProperties>
</file>